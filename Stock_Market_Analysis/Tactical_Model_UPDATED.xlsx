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name="Portfolio_Master" sheetId="1" state="visible" r:id="rId1"/>
    <sheet name="Dim_Stock" sheetId="2" state="visible" r:id="rId2"/>
    <sheet name="Dim_Scenario" sheetId="3" state="visible" r:id="rId3"/>
    <sheet name="Fact_Prices" sheetId="4" state="visible" r:id="rId4"/>
    <sheet name="Portfolio_Summary" sheetId="5" state="visible" r:id="rId5"/>
    <sheet name="Stock_Visualization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E3B341"/>
      <sz val="10"/>
    </font>
    <font>
      <name val="Calibri"/>
      <color rgb="00C9D1D9"/>
      <sz val="10"/>
    </font>
    <font>
      <name val="Calibri"/>
      <color rgb="00F85149"/>
      <sz val="10"/>
    </font>
    <font>
      <name val="Calibri"/>
      <color rgb="008B949E"/>
      <sz val="10"/>
    </font>
    <font>
      <name val="Calibri"/>
      <color rgb="003FB950"/>
      <sz val="10"/>
    </font>
    <font>
      <name val="Calibri"/>
      <color rgb="00E3B341"/>
      <sz val="10"/>
    </font>
    <font>
      <name val="Calibri"/>
      <color rgb="0058A6FF"/>
      <sz val="10"/>
    </font>
    <font>
      <name val="Calibri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61B22"/>
      </patternFill>
    </fill>
    <fill>
      <patternFill patternType="solid">
        <fgColor rgb="000D1117"/>
      </patternFill>
    </fill>
    <fill>
      <patternFill patternType="solid">
        <fgColor rgb="001C2128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10" fontId="3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3" borderId="1" applyAlignment="1" pivotButton="0" quotePrefix="0" xfId="0">
      <alignment horizontal="center" vertical="center"/>
    </xf>
    <xf numFmtId="1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Entry vs Current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'Stock_Visualization_Data'!B1</f>
            </strRef>
          </tx>
          <spPr>
            <a:ln>
              <a:prstDash val="solid"/>
            </a:ln>
          </spPr>
          <cat>
            <numRef>
              <f>'Stock_Visualization_Data'!$A$2:$A$10</f>
            </numRef>
          </cat>
          <val>
            <numRef>
              <f>'Stock_Visualization_Data'!$B$2:$B$10</f>
            </numRef>
          </val>
        </ser>
        <ser>
          <idx val="1"/>
          <order val="1"/>
          <tx>
            <strRef>
              <f>'Stock_Visualization_Data'!C1</f>
            </strRef>
          </tx>
          <spPr>
            <a:ln>
              <a:prstDash val="solid"/>
            </a:ln>
          </spPr>
          <cat>
            <numRef>
              <f>'Stock_Visualization_Data'!$A$2:$A$10</f>
            </numRef>
          </cat>
          <val>
            <numRef>
              <f>'Stock_Visualization_Data'!$C$2:$C$10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Stop Loss Levels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'Stock_Visualization_Data'!D1</f>
            </strRef>
          </tx>
          <spPr>
            <a:ln>
              <a:prstDash val="solid"/>
            </a:ln>
          </spPr>
          <cat>
            <numRef>
              <f>'Stock_Visualization_Data'!$A$2:$A$10</f>
            </numRef>
          </cat>
          <val>
            <numRef>
              <f>'Stock_Visualization_Data'!$D$2:$D$10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Target 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'Stock_Visualization_Data'!E1</f>
            </strRef>
          </tx>
          <spPr>
            <a:ln>
              <a:prstDash val="solid"/>
            </a:ln>
          </spPr>
          <cat>
            <numRef>
              <f>'Stock_Visualization_Data'!$A$2:$A$10</f>
            </numRef>
          </cat>
          <val>
            <numRef>
              <f>'Stock_Visualization_Data'!$E$2:$E$10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Target 2–3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'Stock_Visualization_Data'!F1</f>
            </strRef>
          </tx>
          <spPr>
            <a:ln>
              <a:prstDash val="solid"/>
            </a:ln>
          </spPr>
          <cat>
            <numRef>
              <f>'Stock_Visualization_Data'!$A$2:$A$10</f>
            </numRef>
          </cat>
          <val>
            <numRef>
              <f>'Stock_Visualization_Data'!$F$2:$F$10</f>
            </numRef>
          </val>
        </ser>
        <ser>
          <idx val="1"/>
          <order val="1"/>
          <tx>
            <strRef>
              <f>'Stock_Visualization_Data'!G1</f>
            </strRef>
          </tx>
          <spPr>
            <a:ln>
              <a:prstDash val="solid"/>
            </a:ln>
          </spPr>
          <cat>
            <numRef>
              <f>'Stock_Visualization_Data'!$A$2:$A$10</f>
            </numRef>
          </cat>
          <val>
            <numRef>
              <f>'Stock_Visualization_Data'!$G$2:$G$10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648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21</row>
      <rowOff>0</rowOff>
    </from>
    <ext cx="648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actPortfolio" displayName="FactPortfolio" ref="A1:Z10" headerRowCount="1">
  <autoFilter ref="A1:Z10"/>
  <tableColumns count="26">
    <tableColumn id="1" name="Stock"/>
    <tableColumn id="2" name="Sector"/>
    <tableColumn id="3" name="Sub-Sector"/>
    <tableColumn id="4" name="Allocation Rs"/>
    <tableColumn id="5" name="Entry Price"/>
    <tableColumn id="6" name="Quantity"/>
    <tableColumn id="7" name="Target 1"/>
    <tableColumn id="8" name="Target 2"/>
    <tableColumn id="9" name="Target 3"/>
    <tableColumn id="10" name="Stop Loss"/>
    <tableColumn id="11" name="Risk Level"/>
    <tableColumn id="12" name="Investment Value"/>
    <tableColumn id="13" name="Current Price"/>
    <tableColumn id="14" name="Current Value"/>
    <tableColumn id="15" name="PnL Rs"/>
    <tableColumn id="16" name="PnL Pct"/>
    <tableColumn id="17" name="Risk Amount Rs"/>
    <tableColumn id="18" name="SL Exit Value"/>
    <tableColumn id="19" name="Dist to SL Pct"/>
    <tableColumn id="20" name="Dist to T1 Pct"/>
    <tableColumn id="21" name="Reward Risk"/>
    <tableColumn id="22" name="Expected Value"/>
    <tableColumn id="23" name="Action"/>
    <tableColumn id="24" name="Strategic Role"/>
    <tableColumn id="25" name="Volatility"/>
    <tableColumn id="26" name="Dat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StockVizData" displayName="StockVizData" ref="A1:G10" headerRowCount="1">
  <autoFilter ref="A1:G10"/>
  <tableColumns count="7">
    <tableColumn id="1" name="Stock"/>
    <tableColumn id="2" name="Entry"/>
    <tableColumn id="3" name="Current"/>
    <tableColumn id="4" name="Stop Loss"/>
    <tableColumn id="5" name="Target 1"/>
    <tableColumn id="6" name="Target 2"/>
    <tableColumn id="7" name="Target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tabColor rgb="0058A6FF"/>
    <outlinePr summaryBelow="1" summaryRight="1"/>
    <pageSetUpPr/>
  </sheetPr>
  <dimension ref="A1:Z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Stock</t>
        </is>
      </c>
      <c r="B1" s="1" t="inlineStr">
        <is>
          <t>Sector</t>
        </is>
      </c>
      <c r="C1" s="1" t="inlineStr">
        <is>
          <t>Sub-Sector</t>
        </is>
      </c>
      <c r="D1" s="1" t="inlineStr">
        <is>
          <t>Allocation Rs</t>
        </is>
      </c>
      <c r="E1" s="1" t="inlineStr">
        <is>
          <t>Entry Price</t>
        </is>
      </c>
      <c r="F1" s="1" t="inlineStr">
        <is>
          <t>Quantity</t>
        </is>
      </c>
      <c r="G1" s="1" t="inlineStr">
        <is>
          <t>Target 1</t>
        </is>
      </c>
      <c r="H1" s="1" t="inlineStr">
        <is>
          <t>Target 2</t>
        </is>
      </c>
      <c r="I1" s="1" t="inlineStr">
        <is>
          <t>Target 3</t>
        </is>
      </c>
      <c r="J1" s="1" t="inlineStr">
        <is>
          <t>Stop Loss</t>
        </is>
      </c>
      <c r="K1" s="1" t="inlineStr">
        <is>
          <t>Risk Level</t>
        </is>
      </c>
      <c r="L1" s="1" t="inlineStr">
        <is>
          <t>Investment Value</t>
        </is>
      </c>
      <c r="M1" s="1" t="inlineStr">
        <is>
          <t>Current Price</t>
        </is>
      </c>
      <c r="N1" s="1" t="inlineStr">
        <is>
          <t>Current Value</t>
        </is>
      </c>
      <c r="O1" s="1" t="inlineStr">
        <is>
          <t>PnL Rs</t>
        </is>
      </c>
      <c r="P1" s="1" t="inlineStr">
        <is>
          <t>PnL Pct</t>
        </is>
      </c>
      <c r="Q1" s="1" t="inlineStr">
        <is>
          <t>Risk Amount Rs</t>
        </is>
      </c>
      <c r="R1" s="1" t="inlineStr">
        <is>
          <t>SL Exit Value</t>
        </is>
      </c>
      <c r="S1" s="1" t="inlineStr">
        <is>
          <t>Dist to SL Pct</t>
        </is>
      </c>
      <c r="T1" s="1" t="inlineStr">
        <is>
          <t>Dist to T1 Pct</t>
        </is>
      </c>
      <c r="U1" s="1" t="inlineStr">
        <is>
          <t>Reward Risk</t>
        </is>
      </c>
      <c r="V1" s="1" t="inlineStr">
        <is>
          <t>Expected Value</t>
        </is>
      </c>
      <c r="W1" s="1" t="inlineStr">
        <is>
          <t>Action</t>
        </is>
      </c>
      <c r="X1" s="1" t="inlineStr">
        <is>
          <t>Strategic Role</t>
        </is>
      </c>
      <c r="Y1" s="1" t="inlineStr">
        <is>
          <t>Volatility</t>
        </is>
      </c>
      <c r="Z1" s="1" t="inlineStr">
        <is>
          <t>Date</t>
        </is>
      </c>
    </row>
    <row r="2">
      <c r="A2" s="2" t="inlineStr">
        <is>
          <t>BEL</t>
        </is>
      </c>
      <c r="B2" s="2" t="inlineStr">
        <is>
          <t>Defence</t>
        </is>
      </c>
      <c r="C2" s="2" t="inlineStr">
        <is>
          <t>Electronics</t>
        </is>
      </c>
      <c r="D2" s="3" t="n">
        <v>19791.2</v>
      </c>
      <c r="E2" s="3" t="n">
        <v>449.8</v>
      </c>
      <c r="F2" s="2" t="n">
        <v>44</v>
      </c>
      <c r="G2" s="3">
        <f>E2*1.06</f>
        <v/>
      </c>
      <c r="H2" s="3" t="n">
        <v>495.8800000000001</v>
      </c>
      <c r="I2" s="3" t="n">
        <v>518.42</v>
      </c>
      <c r="J2" s="3" t="n">
        <v>428.26</v>
      </c>
      <c r="K2" s="2" t="inlineStr">
        <is>
          <t>Medium-High</t>
        </is>
      </c>
      <c r="L2" s="3" t="n">
        <v>19791.2</v>
      </c>
      <c r="M2" s="3" t="n">
        <v>446.85</v>
      </c>
      <c r="N2" s="3" t="n">
        <v>19661.4</v>
      </c>
      <c r="O2" s="4" t="n">
        <v>-129.8</v>
      </c>
      <c r="P2" s="5" t="n">
        <v>-0.006558</v>
      </c>
      <c r="Q2" s="3" t="n">
        <v>947.76</v>
      </c>
      <c r="R2" s="3" t="n">
        <v>18843.44</v>
      </c>
      <c r="S2" s="6" t="n">
        <v>0.041602</v>
      </c>
      <c r="T2" s="6" t="n">
        <v>0.06937</v>
      </c>
      <c r="U2" s="7" t="n">
        <v>1.3</v>
      </c>
      <c r="V2" s="3" t="n">
        <v>1232.09</v>
      </c>
      <c r="W2" s="8" t="inlineStr">
        <is>
          <t>Hold</t>
        </is>
      </c>
      <c r="X2" s="2" t="inlineStr">
        <is>
          <t>Core Hold</t>
        </is>
      </c>
      <c r="Y2" s="2" t="inlineStr">
        <is>
          <t>Medium-High</t>
        </is>
      </c>
      <c r="Z2" s="2" t="inlineStr">
        <is>
          <t>2026-03-04</t>
        </is>
      </c>
    </row>
    <row r="3">
      <c r="A3" s="9" t="inlineStr">
        <is>
          <t>BPCL</t>
        </is>
      </c>
      <c r="B3" s="9" t="inlineStr">
        <is>
          <t>Oil &amp; Gas</t>
        </is>
      </c>
      <c r="C3" s="9" t="inlineStr">
        <is>
          <t>Downstream OMC</t>
        </is>
      </c>
      <c r="D3" s="10" t="n">
        <v>1489.8</v>
      </c>
      <c r="E3" s="10" t="n">
        <v>372.45</v>
      </c>
      <c r="F3" s="9" t="n">
        <v>4</v>
      </c>
      <c r="G3" s="10">
        <f>E3*1.06</f>
        <v/>
      </c>
      <c r="H3" s="10" t="n">
        <v>409.695</v>
      </c>
      <c r="I3" s="10" t="n">
        <v>428.3174999999999</v>
      </c>
      <c r="J3" s="10" t="n">
        <v>353.8275</v>
      </c>
      <c r="K3" s="9" t="inlineStr">
        <is>
          <t>Medium</t>
        </is>
      </c>
      <c r="L3" s="10" t="n">
        <v>1489.8</v>
      </c>
      <c r="M3" s="10" t="n">
        <v>356.4</v>
      </c>
      <c r="N3" s="10" t="n">
        <v>1425.6</v>
      </c>
      <c r="O3" s="11" t="n">
        <v>-64.2</v>
      </c>
      <c r="P3" s="12" t="n">
        <v>-0.043093</v>
      </c>
      <c r="Q3" s="10" t="n">
        <v>74.48999999999999</v>
      </c>
      <c r="R3" s="10" t="n">
        <v>1415.31</v>
      </c>
      <c r="S3" s="13" t="n">
        <v>0.007218</v>
      </c>
      <c r="T3" s="13" t="n">
        <v>0.107736</v>
      </c>
      <c r="U3" s="14" t="n">
        <v>1.2</v>
      </c>
      <c r="V3" s="10" t="n">
        <v>89.39</v>
      </c>
      <c r="W3" s="15" t="inlineStr">
        <is>
          <t>Hold</t>
        </is>
      </c>
      <c r="X3" s="9" t="inlineStr">
        <is>
          <t>Tactical Swing</t>
        </is>
      </c>
      <c r="Y3" s="9" t="inlineStr">
        <is>
          <t>Medium</t>
        </is>
      </c>
      <c r="Z3" s="9" t="inlineStr">
        <is>
          <t>2026-03-04</t>
        </is>
      </c>
    </row>
    <row r="4">
      <c r="A4" s="2" t="inlineStr">
        <is>
          <t>GOLDBEES</t>
        </is>
      </c>
      <c r="B4" s="2" t="inlineStr">
        <is>
          <t>ETF</t>
        </is>
      </c>
      <c r="C4" s="2" t="inlineStr">
        <is>
          <t>Gold ETF</t>
        </is>
      </c>
      <c r="D4" s="3" t="n">
        <v>15171.52</v>
      </c>
      <c r="E4" s="3" t="n">
        <v>135.46</v>
      </c>
      <c r="F4" s="2" t="n">
        <v>112</v>
      </c>
      <c r="G4" s="3">
        <f>E4*1.06</f>
        <v/>
      </c>
      <c r="H4" s="3" t="n">
        <v>145.2</v>
      </c>
      <c r="I4" s="3" t="n">
        <v>151.8</v>
      </c>
      <c r="J4" s="3" t="n">
        <v>125.4</v>
      </c>
      <c r="K4" s="2" t="inlineStr">
        <is>
          <t>Low</t>
        </is>
      </c>
      <c r="L4" s="3" t="n">
        <v>15171.52</v>
      </c>
      <c r="M4" s="3" t="n">
        <v>133.96</v>
      </c>
      <c r="N4" s="3" t="n">
        <v>15003.52</v>
      </c>
      <c r="O4" s="4" t="n">
        <v>-168</v>
      </c>
      <c r="P4" s="5" t="n">
        <v>-0.011073</v>
      </c>
      <c r="Q4" s="3" t="n">
        <v>1126.72</v>
      </c>
      <c r="R4" s="3" t="n">
        <v>14044.8</v>
      </c>
      <c r="S4" s="6" t="n">
        <v>0.0639</v>
      </c>
      <c r="T4" s="6" t="n">
        <v>0.044491</v>
      </c>
      <c r="U4" s="7" t="n">
        <v>0.44</v>
      </c>
      <c r="V4" s="3" t="n">
        <v>495.76</v>
      </c>
      <c r="W4" s="8" t="inlineStr">
        <is>
          <t>Hold</t>
        </is>
      </c>
      <c r="X4" s="2" t="inlineStr">
        <is>
          <t>Hedge</t>
        </is>
      </c>
      <c r="Y4" s="2" t="inlineStr">
        <is>
          <t>Low</t>
        </is>
      </c>
      <c r="Z4" s="2" t="inlineStr">
        <is>
          <t>2026-03-04</t>
        </is>
      </c>
    </row>
    <row r="5">
      <c r="A5" s="9" t="inlineStr">
        <is>
          <t>ONGC</t>
        </is>
      </c>
      <c r="B5" s="9" t="inlineStr">
        <is>
          <t>Oil &amp; Gas</t>
        </is>
      </c>
      <c r="C5" s="9" t="inlineStr">
        <is>
          <t>Upstream E&amp;P</t>
        </is>
      </c>
      <c r="D5" s="10" t="n">
        <v>14242.26</v>
      </c>
      <c r="E5" s="10" t="n">
        <v>279.26</v>
      </c>
      <c r="F5" s="9" t="n">
        <v>51</v>
      </c>
      <c r="G5" s="10">
        <f>E5*1.06</f>
        <v/>
      </c>
      <c r="H5" s="10" t="n">
        <v>307.285</v>
      </c>
      <c r="I5" s="10" t="n">
        <v>321.2525</v>
      </c>
      <c r="J5" s="10" t="n">
        <v>265.3825</v>
      </c>
      <c r="K5" s="9" t="inlineStr">
        <is>
          <t>Medium</t>
        </is>
      </c>
      <c r="L5" s="10" t="n">
        <v>14242.26</v>
      </c>
      <c r="M5" s="10" t="n">
        <v>276.95</v>
      </c>
      <c r="N5" s="10" t="n">
        <v>14124.45</v>
      </c>
      <c r="O5" s="11" t="n">
        <v>-117.81</v>
      </c>
      <c r="P5" s="12" t="n">
        <v>-0.008272</v>
      </c>
      <c r="Q5" s="10" t="n">
        <v>707.75</v>
      </c>
      <c r="R5" s="10" t="n">
        <v>13534.51</v>
      </c>
      <c r="S5" s="13" t="n">
        <v>0.041767</v>
      </c>
      <c r="T5" s="13" t="n">
        <v>0.069186</v>
      </c>
      <c r="U5" s="14" t="n">
        <v>1.21</v>
      </c>
      <c r="V5" s="10" t="n">
        <v>856.38</v>
      </c>
      <c r="W5" s="15" t="inlineStr">
        <is>
          <t>Hold</t>
        </is>
      </c>
      <c r="X5" s="9" t="inlineStr">
        <is>
          <t>Tactical Swing</t>
        </is>
      </c>
      <c r="Y5" s="9" t="inlineStr">
        <is>
          <t>Medium</t>
        </is>
      </c>
      <c r="Z5" s="9" t="inlineStr">
        <is>
          <t>2026-03-04</t>
        </is>
      </c>
    </row>
    <row r="6">
      <c r="A6" s="2" t="inlineStr">
        <is>
          <t>PMC Fincorp</t>
        </is>
      </c>
      <c r="B6" s="2" t="inlineStr">
        <is>
          <t>Fincorp</t>
        </is>
      </c>
      <c r="C6" s="2" t="inlineStr">
        <is>
          <t>Fincorp</t>
        </is>
      </c>
      <c r="D6" s="3" t="n">
        <v>330.24</v>
      </c>
      <c r="E6" s="3" t="n">
        <v>1.72</v>
      </c>
      <c r="F6" s="2" t="n">
        <v>192</v>
      </c>
      <c r="G6" s="3">
        <f>E6*1.06</f>
        <v/>
      </c>
      <c r="H6" s="3" t="n">
        <v>1.89</v>
      </c>
      <c r="I6" s="3" t="n">
        <v>1.98</v>
      </c>
      <c r="J6" s="3" t="n">
        <v>1.63</v>
      </c>
      <c r="K6" s="2" t="inlineStr">
        <is>
          <t>Medium</t>
        </is>
      </c>
      <c r="L6" s="3" t="n">
        <v>330.24</v>
      </c>
      <c r="M6" s="3" t="n">
        <v>1.84</v>
      </c>
      <c r="N6" s="3" t="n">
        <v>353.28</v>
      </c>
      <c r="O6" s="16" t="n">
        <v>23.04</v>
      </c>
      <c r="P6" s="17" t="n">
        <v>0.069767</v>
      </c>
      <c r="Q6" s="3" t="n">
        <v>17.28</v>
      </c>
      <c r="R6" s="3" t="n">
        <v>312.96</v>
      </c>
      <c r="S6" s="6" t="n">
        <v>0.11413</v>
      </c>
      <c r="T6" s="6" t="n">
        <v>-0.01087</v>
      </c>
      <c r="U6" s="7" t="n">
        <v>1.11</v>
      </c>
      <c r="V6" s="3" t="n">
        <v>19.18</v>
      </c>
      <c r="W6" s="18" t="inlineStr">
        <is>
          <t>Book 30%</t>
        </is>
      </c>
      <c r="X6" s="2" t="inlineStr">
        <is>
          <t>Tactical Swing</t>
        </is>
      </c>
      <c r="Y6" s="2" t="inlineStr">
        <is>
          <t>Medium</t>
        </is>
      </c>
      <c r="Z6" s="2" t="inlineStr">
        <is>
          <t>2026-03-04</t>
        </is>
      </c>
    </row>
    <row r="7">
      <c r="A7" s="9" t="inlineStr">
        <is>
          <t>Suzlon Energy</t>
        </is>
      </c>
      <c r="B7" s="9" t="inlineStr">
        <is>
          <t>Energy</t>
        </is>
      </c>
      <c r="C7" s="9" t="inlineStr">
        <is>
          <t>Renewable Wind</t>
        </is>
      </c>
      <c r="D7" s="10" t="n">
        <v>299.25</v>
      </c>
      <c r="E7" s="10" t="n">
        <v>11.97</v>
      </c>
      <c r="F7" s="9" t="n">
        <v>25</v>
      </c>
      <c r="G7" s="10">
        <f>E7*1.06</f>
        <v/>
      </c>
      <c r="H7" s="10" t="n">
        <v>44.0594</v>
      </c>
      <c r="I7" s="10" t="n">
        <v>46.0621</v>
      </c>
      <c r="J7" s="10" t="n">
        <v>38.0513</v>
      </c>
      <c r="K7" s="9" t="inlineStr">
        <is>
          <t>Medium-High</t>
        </is>
      </c>
      <c r="L7" s="10" t="n">
        <v>299.25</v>
      </c>
      <c r="M7" s="10" t="n">
        <v>39.93</v>
      </c>
      <c r="N7" s="10" t="n">
        <v>998.25</v>
      </c>
      <c r="O7" s="19" t="n">
        <v>699</v>
      </c>
      <c r="P7" s="20" t="n">
        <v>2.33584</v>
      </c>
      <c r="Q7" s="10" t="n">
        <v>-652.03</v>
      </c>
      <c r="R7" s="10" t="n">
        <v>951.28</v>
      </c>
      <c r="S7" s="13" t="n">
        <v>0.04705</v>
      </c>
      <c r="T7" s="13" t="n">
        <v>0.063292</v>
      </c>
      <c r="U7" s="14" t="n">
        <v>0</v>
      </c>
      <c r="V7" s="10" t="n">
        <v>-0</v>
      </c>
      <c r="W7" s="21" t="inlineStr">
        <is>
          <t>Reduce 30%</t>
        </is>
      </c>
      <c r="X7" s="9" t="inlineStr">
        <is>
          <t>Speculative</t>
        </is>
      </c>
      <c r="Y7" s="9" t="inlineStr">
        <is>
          <t>Medium-High</t>
        </is>
      </c>
      <c r="Z7" s="9" t="inlineStr">
        <is>
          <t>2026-03-04</t>
        </is>
      </c>
    </row>
    <row r="8">
      <c r="A8" s="2" t="inlineStr">
        <is>
          <t>Tata Gold Exchange Traded Fund</t>
        </is>
      </c>
      <c r="B8" s="2" t="inlineStr">
        <is>
          <t>ETF</t>
        </is>
      </c>
      <c r="C8" s="2" t="inlineStr">
        <is>
          <t>Gold ETF</t>
        </is>
      </c>
      <c r="D8" s="3" t="n">
        <v>14186.55</v>
      </c>
      <c r="E8" s="3" t="n">
        <v>16.03</v>
      </c>
      <c r="F8" s="2" t="n">
        <v>885</v>
      </c>
      <c r="G8" s="3">
        <f>E8*1.06</f>
        <v/>
      </c>
      <c r="H8" s="3" t="n">
        <v>17.633</v>
      </c>
      <c r="I8" s="3" t="n">
        <v>18.4345</v>
      </c>
      <c r="J8" s="3" t="n">
        <v>15.2285</v>
      </c>
      <c r="K8" s="2" t="inlineStr">
        <is>
          <t>Low</t>
        </is>
      </c>
      <c r="L8" s="3" t="n">
        <v>14186.55</v>
      </c>
      <c r="M8" s="3" t="n">
        <v>15.67</v>
      </c>
      <c r="N8" s="3" t="n">
        <v>13867.95</v>
      </c>
      <c r="O8" s="4" t="n">
        <v>-318.6</v>
      </c>
      <c r="P8" s="5" t="n">
        <v>-0.022458</v>
      </c>
      <c r="Q8" s="3" t="n">
        <v>709.33</v>
      </c>
      <c r="R8" s="3" t="n">
        <v>13477.22</v>
      </c>
      <c r="S8" s="6" t="n">
        <v>0.028175</v>
      </c>
      <c r="T8" s="6" t="n">
        <v>0.084352</v>
      </c>
      <c r="U8" s="7" t="n">
        <v>1.2</v>
      </c>
      <c r="V8" s="3" t="n">
        <v>851.2</v>
      </c>
      <c r="W8" s="8" t="inlineStr">
        <is>
          <t>Hold</t>
        </is>
      </c>
      <c r="X8" s="2" t="inlineStr">
        <is>
          <t>Hedge</t>
        </is>
      </c>
      <c r="Y8" s="2" t="inlineStr">
        <is>
          <t>Low</t>
        </is>
      </c>
      <c r="Z8" s="2" t="inlineStr">
        <is>
          <t>2026-03-04</t>
        </is>
      </c>
    </row>
    <row r="9">
      <c r="A9" s="9" t="inlineStr">
        <is>
          <t>Tata Silver Exchange Traded Fund</t>
        </is>
      </c>
      <c r="B9" s="9" t="inlineStr">
        <is>
          <t>ETF</t>
        </is>
      </c>
      <c r="C9" s="9" t="inlineStr">
        <is>
          <t>Silver ETF</t>
        </is>
      </c>
      <c r="D9" s="10" t="n">
        <v>5415.3</v>
      </c>
      <c r="E9" s="10" t="n">
        <v>27.35</v>
      </c>
      <c r="F9" s="9" t="n">
        <v>198</v>
      </c>
      <c r="G9" s="10">
        <f>E9*1.06</f>
        <v/>
      </c>
      <c r="H9" s="10" t="n">
        <v>30.085</v>
      </c>
      <c r="I9" s="10" t="n">
        <v>31.4525</v>
      </c>
      <c r="J9" s="10" t="n">
        <v>25.9825</v>
      </c>
      <c r="K9" s="9" t="inlineStr">
        <is>
          <t>Medium</t>
        </is>
      </c>
      <c r="L9" s="10" t="n">
        <v>5415.3</v>
      </c>
      <c r="M9" s="10" t="n">
        <v>25.77</v>
      </c>
      <c r="N9" s="10" t="n">
        <v>5102.46</v>
      </c>
      <c r="O9" s="11" t="n">
        <v>-312.84</v>
      </c>
      <c r="P9" s="12" t="n">
        <v>-0.05777</v>
      </c>
      <c r="Q9" s="10" t="n">
        <v>270.76</v>
      </c>
      <c r="R9" s="10" t="n">
        <v>5144.54</v>
      </c>
      <c r="S9" s="13" t="n">
        <v>-0.008246</v>
      </c>
      <c r="T9" s="13" t="n">
        <v>0.12499</v>
      </c>
      <c r="U9" s="14" t="n">
        <v>1.2</v>
      </c>
      <c r="V9" s="10" t="n">
        <v>324.91</v>
      </c>
      <c r="W9" s="22" t="inlineStr">
        <is>
          <t>EXIT NOW</t>
        </is>
      </c>
      <c r="X9" s="9" t="inlineStr">
        <is>
          <t>Hold</t>
        </is>
      </c>
      <c r="Y9" s="9" t="inlineStr">
        <is>
          <t>Medium</t>
        </is>
      </c>
      <c r="Z9" s="9" t="inlineStr">
        <is>
          <t>2026-03-04</t>
        </is>
      </c>
    </row>
    <row r="10">
      <c r="A10" s="2" t="inlineStr">
        <is>
          <t>Trident</t>
        </is>
      </c>
      <c r="B10" s="2" t="inlineStr">
        <is>
          <t>Textail</t>
        </is>
      </c>
      <c r="C10" s="2" t="inlineStr">
        <is>
          <t>Textail</t>
        </is>
      </c>
      <c r="D10" s="3" t="n">
        <v>79.70999999999999</v>
      </c>
      <c r="E10" s="3" t="n">
        <v>26.57</v>
      </c>
      <c r="F10" s="2" t="n">
        <v>3</v>
      </c>
      <c r="G10" s="3">
        <f>E10*1.06</f>
        <v/>
      </c>
      <c r="H10" s="3" t="n">
        <v>29.23</v>
      </c>
      <c r="I10" s="3" t="n">
        <v>30.56</v>
      </c>
      <c r="J10" s="3" t="n">
        <v>25.24</v>
      </c>
      <c r="K10" s="2" t="inlineStr">
        <is>
          <t>Medium</t>
        </is>
      </c>
      <c r="L10" s="3" t="n">
        <v>79.70999999999999</v>
      </c>
      <c r="M10" s="3" t="n">
        <v>23.58</v>
      </c>
      <c r="N10" s="3" t="n">
        <v>70.73999999999999</v>
      </c>
      <c r="O10" s="4" t="n">
        <v>-8.970000000000001</v>
      </c>
      <c r="P10" s="5" t="n">
        <v>-0.112533</v>
      </c>
      <c r="Q10" s="3" t="n">
        <v>3.99</v>
      </c>
      <c r="R10" s="3" t="n">
        <v>75.72</v>
      </c>
      <c r="S10" s="6" t="n">
        <v>-0.070399</v>
      </c>
      <c r="T10" s="6" t="n">
        <v>0.194232</v>
      </c>
      <c r="U10" s="7" t="n">
        <v>1.2</v>
      </c>
      <c r="V10" s="3" t="n">
        <v>4.79</v>
      </c>
      <c r="W10" s="23" t="inlineStr">
        <is>
          <t>EXIT NOW</t>
        </is>
      </c>
      <c r="X10" s="2" t="inlineStr">
        <is>
          <t>Tactical Swing</t>
        </is>
      </c>
      <c r="Y10" s="2" t="inlineStr">
        <is>
          <t>Medium</t>
        </is>
      </c>
      <c r="Z10" s="2" t="inlineStr">
        <is>
          <t>2026-03-04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BC8CFF"/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4" customWidth="1" min="4" max="4"/>
    <col width="18" customWidth="1" min="5" max="5"/>
  </cols>
  <sheetData>
    <row r="1">
      <c r="A1" s="1" t="inlineStr">
        <is>
          <t>Stock Name</t>
        </is>
      </c>
      <c r="B1" s="1" t="inlineStr">
        <is>
          <t>Sector</t>
        </is>
      </c>
      <c r="C1" s="1" t="inlineStr">
        <is>
          <t>Sub-Sector</t>
        </is>
      </c>
      <c r="D1" s="1" t="inlineStr">
        <is>
          <t>Volatility</t>
        </is>
      </c>
      <c r="E1" s="1" t="inlineStr">
        <is>
          <t>Strategic Role</t>
        </is>
      </c>
    </row>
    <row r="2">
      <c r="A2" s="24" t="inlineStr">
        <is>
          <t>BEL</t>
        </is>
      </c>
      <c r="B2" s="2" t="inlineStr">
        <is>
          <t>Defence</t>
        </is>
      </c>
      <c r="C2" s="2" t="inlineStr">
        <is>
          <t>Electronics</t>
        </is>
      </c>
      <c r="D2" s="2" t="inlineStr">
        <is>
          <t>Medium-High</t>
        </is>
      </c>
      <c r="E2" s="2" t="inlineStr">
        <is>
          <t>Core Hold</t>
        </is>
      </c>
    </row>
    <row r="3">
      <c r="A3" s="25" t="inlineStr">
        <is>
          <t>BPCL</t>
        </is>
      </c>
      <c r="B3" s="9" t="inlineStr">
        <is>
          <t>Oil &amp; Gas</t>
        </is>
      </c>
      <c r="C3" s="9" t="inlineStr">
        <is>
          <t>Downstream OMC</t>
        </is>
      </c>
      <c r="D3" s="9" t="inlineStr">
        <is>
          <t>Medium</t>
        </is>
      </c>
      <c r="E3" s="9" t="inlineStr">
        <is>
          <t>Tactical Swing</t>
        </is>
      </c>
    </row>
    <row r="4">
      <c r="A4" s="24" t="inlineStr">
        <is>
          <t>GOLDBEES</t>
        </is>
      </c>
      <c r="B4" s="2" t="inlineStr">
        <is>
          <t>ETF</t>
        </is>
      </c>
      <c r="C4" s="2" t="inlineStr">
        <is>
          <t>Gold ETF</t>
        </is>
      </c>
      <c r="D4" s="2" t="inlineStr">
        <is>
          <t>Low</t>
        </is>
      </c>
      <c r="E4" s="2" t="inlineStr">
        <is>
          <t>Hedge</t>
        </is>
      </c>
    </row>
    <row r="5">
      <c r="A5" s="25" t="inlineStr">
        <is>
          <t>ONGC</t>
        </is>
      </c>
      <c r="B5" s="9" t="inlineStr">
        <is>
          <t>Oil &amp; Gas</t>
        </is>
      </c>
      <c r="C5" s="9" t="inlineStr">
        <is>
          <t>Upstream E&amp;P</t>
        </is>
      </c>
      <c r="D5" s="9" t="inlineStr">
        <is>
          <t>Medium</t>
        </is>
      </c>
      <c r="E5" s="9" t="inlineStr">
        <is>
          <t>Tactical Swing</t>
        </is>
      </c>
    </row>
    <row r="6">
      <c r="A6" s="24" t="inlineStr">
        <is>
          <t>PMC Fincorp</t>
        </is>
      </c>
      <c r="B6" s="2" t="inlineStr">
        <is>
          <t>Fincorp</t>
        </is>
      </c>
      <c r="C6" s="2" t="inlineStr">
        <is>
          <t>Fincorp</t>
        </is>
      </c>
      <c r="D6" s="2" t="inlineStr">
        <is>
          <t>Medium</t>
        </is>
      </c>
      <c r="E6" s="2" t="inlineStr">
        <is>
          <t>Tactical Swing</t>
        </is>
      </c>
    </row>
    <row r="7">
      <c r="A7" s="25" t="inlineStr">
        <is>
          <t>Suzlon Energy</t>
        </is>
      </c>
      <c r="B7" s="9" t="inlineStr">
        <is>
          <t>Energy</t>
        </is>
      </c>
      <c r="C7" s="9" t="inlineStr">
        <is>
          <t>Renewable Wind</t>
        </is>
      </c>
      <c r="D7" s="9" t="inlineStr">
        <is>
          <t>Medium-High</t>
        </is>
      </c>
      <c r="E7" s="9" t="inlineStr">
        <is>
          <t>Speculative</t>
        </is>
      </c>
    </row>
    <row r="8">
      <c r="A8" s="24" t="inlineStr">
        <is>
          <t>Tata Gold Exchange Traded Fund</t>
        </is>
      </c>
      <c r="B8" s="2" t="inlineStr">
        <is>
          <t>ETF</t>
        </is>
      </c>
      <c r="C8" s="2" t="inlineStr">
        <is>
          <t>Gold ETF</t>
        </is>
      </c>
      <c r="D8" s="2" t="inlineStr">
        <is>
          <t>Low</t>
        </is>
      </c>
      <c r="E8" s="2" t="inlineStr">
        <is>
          <t>Hedge</t>
        </is>
      </c>
    </row>
    <row r="9">
      <c r="A9" s="25" t="inlineStr">
        <is>
          <t>Tata Silver Exchange Traded Fund</t>
        </is>
      </c>
      <c r="B9" s="9" t="inlineStr">
        <is>
          <t>ETF</t>
        </is>
      </c>
      <c r="C9" s="9" t="inlineStr">
        <is>
          <t>Silver ETF</t>
        </is>
      </c>
      <c r="D9" s="9" t="inlineStr">
        <is>
          <t>Medium</t>
        </is>
      </c>
      <c r="E9" s="9" t="inlineStr">
        <is>
          <t>Hold</t>
        </is>
      </c>
    </row>
    <row r="10">
      <c r="A10" s="24" t="inlineStr">
        <is>
          <t>Trident</t>
        </is>
      </c>
      <c r="B10" s="2" t="inlineStr">
        <is>
          <t>Textail</t>
        </is>
      </c>
      <c r="C10" s="2" t="inlineStr">
        <is>
          <t>Textail</t>
        </is>
      </c>
      <c r="D10" s="2" t="inlineStr">
        <is>
          <t>Medium</t>
        </is>
      </c>
      <c r="E10" s="2" t="inlineStr">
        <is>
          <t>Tactical Swing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B341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0" customWidth="1" min="4" max="4"/>
    <col width="10" customWidth="1" min="5" max="5"/>
    <col width="10" customWidth="1" min="6" max="6"/>
    <col width="40" customWidth="1" min="7" max="7"/>
  </cols>
  <sheetData>
    <row r="1">
      <c r="A1" s="1" t="inlineStr">
        <is>
          <t>Scenario</t>
        </is>
      </c>
      <c r="B1" s="1" t="inlineStr">
        <is>
          <t>Probability</t>
        </is>
      </c>
      <c r="C1" s="1" t="inlineStr">
        <is>
          <t>Projected Value</t>
        </is>
      </c>
      <c r="D1" s="1" t="inlineStr">
        <is>
          <t>Oil Chg</t>
        </is>
      </c>
      <c r="E1" s="1" t="inlineStr">
        <is>
          <t>Gold Chg</t>
        </is>
      </c>
      <c r="F1" s="1" t="inlineStr">
        <is>
          <t>Nifty Chg</t>
        </is>
      </c>
      <c r="G1" s="1" t="inlineStr">
        <is>
          <t>Description</t>
        </is>
      </c>
    </row>
    <row r="2">
      <c r="A2" s="26" t="inlineStr">
        <is>
          <t>Bullish</t>
        </is>
      </c>
      <c r="B2" s="2" t="n">
        <v>0.08</v>
      </c>
      <c r="C2" s="2" t="n">
        <v>0.06</v>
      </c>
      <c r="D2" s="2" t="n">
        <v>-0.02</v>
      </c>
      <c r="E2" s="2" t="n">
        <v>105685.614</v>
      </c>
      <c r="F2" s="2" t="n">
        <v>30</v>
      </c>
    </row>
    <row r="3">
      <c r="A3" s="27" t="inlineStr">
        <is>
          <t>Neutral</t>
        </is>
      </c>
      <c r="B3" s="9" t="n">
        <v>0.02</v>
      </c>
      <c r="C3" s="9" t="n">
        <v>0.02</v>
      </c>
      <c r="D3" s="9" t="n">
        <v>0</v>
      </c>
      <c r="E3" s="9" t="n">
        <v>99814.19100000001</v>
      </c>
      <c r="F3" s="9" t="n">
        <v>40</v>
      </c>
    </row>
    <row r="4">
      <c r="A4" s="23" t="inlineStr">
        <is>
          <t>Bearish</t>
        </is>
      </c>
      <c r="B4" s="2" t="n">
        <v>-0.05</v>
      </c>
      <c r="C4" s="2" t="n">
        <v>-0.03</v>
      </c>
      <c r="D4" s="2" t="n">
        <v>-0.04</v>
      </c>
      <c r="E4" s="2" t="n">
        <v>92964.19749999999</v>
      </c>
      <c r="F4" s="2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FB950"/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Price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85149"/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</row>
    <row r="2">
      <c r="A2" s="28" t="inlineStr">
        <is>
          <t>Total Capital</t>
        </is>
      </c>
      <c r="B2" s="2" t="n">
        <v>100000</v>
      </c>
      <c r="C2" s="2" t="inlineStr">
        <is>
          <t>—</t>
        </is>
      </c>
    </row>
    <row r="3">
      <c r="A3" s="29" t="inlineStr">
        <is>
          <t>Total Invested</t>
        </is>
      </c>
      <c r="B3" s="9" t="n">
        <v>71005.83</v>
      </c>
      <c r="C3" s="9" t="inlineStr">
        <is>
          <t>—</t>
        </is>
      </c>
    </row>
    <row r="4">
      <c r="A4" s="28" t="inlineStr">
        <is>
          <t>Total Current Value</t>
        </is>
      </c>
      <c r="B4" s="2" t="n">
        <v>70607.64999999999</v>
      </c>
      <c r="C4" s="2" t="inlineStr">
        <is>
          <t>—</t>
        </is>
      </c>
    </row>
    <row r="5">
      <c r="A5" s="29" t="inlineStr">
        <is>
          <t>Total PnL Rs</t>
        </is>
      </c>
      <c r="B5" s="22" t="n">
        <v>-398.18</v>
      </c>
      <c r="C5" s="9" t="inlineStr">
        <is>
          <t>🛑</t>
        </is>
      </c>
    </row>
    <row r="6">
      <c r="A6" s="28" t="inlineStr">
        <is>
          <t>Total PnL Pct</t>
        </is>
      </c>
      <c r="B6" s="23" t="n">
        <v>-0.5608</v>
      </c>
      <c r="C6" s="2" t="inlineStr">
        <is>
          <t>🛑</t>
        </is>
      </c>
    </row>
    <row r="7">
      <c r="A7" s="29" t="inlineStr">
        <is>
          <t>Total Risk Rs</t>
        </is>
      </c>
      <c r="B7" s="9" t="n">
        <v>3206.05</v>
      </c>
      <c r="C7" s="9" t="inlineStr">
        <is>
          <t>—</t>
        </is>
      </c>
    </row>
    <row r="8">
      <c r="A8" s="28" t="inlineStr">
        <is>
          <t>Capital After SL</t>
        </is>
      </c>
      <c r="B8" s="2" t="n">
        <v>67799.78</v>
      </c>
      <c r="C8" s="2" t="inlineStr">
        <is>
          <t>—</t>
        </is>
      </c>
    </row>
    <row r="9">
      <c r="A9" s="29" t="inlineStr">
        <is>
          <t>Portfolio Heat Pct</t>
        </is>
      </c>
      <c r="B9" s="9" t="n">
        <v>4.5152</v>
      </c>
      <c r="C9" s="9" t="inlineStr">
        <is>
          <t>—</t>
        </is>
      </c>
    </row>
    <row r="10">
      <c r="A10" s="28" t="inlineStr">
        <is>
          <t>Risk Status</t>
        </is>
      </c>
      <c r="B10" s="23" t="inlineStr">
        <is>
          <t>Warning</t>
        </is>
      </c>
      <c r="C10" s="2" t="inlineStr">
        <is>
          <t>🛑</t>
        </is>
      </c>
    </row>
    <row r="11">
      <c r="A11" s="29" t="inlineStr">
        <is>
          <t>Active Stocks</t>
        </is>
      </c>
      <c r="B11" s="9" t="n">
        <v>9</v>
      </c>
      <c r="C11" s="9" t="inlineStr">
        <is>
          <t>—</t>
        </is>
      </c>
    </row>
    <row r="12">
      <c r="A12" s="28" t="inlineStr">
        <is>
          <t>Cash Reserve</t>
        </is>
      </c>
      <c r="B12" s="2" t="n">
        <v>28994.17</v>
      </c>
      <c r="C12" s="2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3B341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Stock</t>
        </is>
      </c>
      <c r="B1" s="1" t="inlineStr">
        <is>
          <t>Entry</t>
        </is>
      </c>
      <c r="C1" s="1" t="inlineStr">
        <is>
          <t>Current</t>
        </is>
      </c>
      <c r="D1" s="1" t="inlineStr">
        <is>
          <t>Stop Loss</t>
        </is>
      </c>
      <c r="E1" s="1" t="inlineStr">
        <is>
          <t>Target 1</t>
        </is>
      </c>
      <c r="F1" s="1" t="inlineStr">
        <is>
          <t>Target 2</t>
        </is>
      </c>
      <c r="G1" s="1" t="inlineStr">
        <is>
          <t>Target 3</t>
        </is>
      </c>
    </row>
    <row r="2">
      <c r="A2" s="24" t="inlineStr">
        <is>
          <t>BEL</t>
        </is>
      </c>
      <c r="B2" s="3" t="n">
        <v>449.8</v>
      </c>
      <c r="C2" s="3" t="n">
        <v>446.85</v>
      </c>
      <c r="D2" s="3" t="n">
        <v>428.26</v>
      </c>
      <c r="E2" s="3" t="n">
        <v>477.848</v>
      </c>
      <c r="F2" s="3" t="n">
        <v>495.8800000000001</v>
      </c>
      <c r="G2" s="3">
        <f>XLOOKUP(A2, Portfolio_Master!$A:$A, Portfolio_Master!$I:$I)</f>
        <v/>
      </c>
    </row>
    <row r="3">
      <c r="A3" s="25" t="inlineStr">
        <is>
          <t>BPCL</t>
        </is>
      </c>
      <c r="B3" s="10" t="n">
        <v>372.45</v>
      </c>
      <c r="C3" s="10" t="n">
        <v>356.4</v>
      </c>
      <c r="D3" s="10" t="n">
        <v>353.8275</v>
      </c>
      <c r="E3" s="10" t="n">
        <v>394.797</v>
      </c>
      <c r="F3" s="10" t="n">
        <v>409.695</v>
      </c>
      <c r="G3" s="10">
        <f>XLOOKUP(A3, Portfolio_Master!$A:$A, Portfolio_Master!$I:$I)</f>
        <v/>
      </c>
    </row>
    <row r="4">
      <c r="A4" s="24" t="inlineStr">
        <is>
          <t>GOLDBEES</t>
        </is>
      </c>
      <c r="B4" s="3" t="n">
        <v>135.46</v>
      </c>
      <c r="C4" s="3" t="n">
        <v>133.96</v>
      </c>
      <c r="D4" s="3" t="n">
        <v>125.4</v>
      </c>
      <c r="E4" s="3" t="n">
        <v>139.92</v>
      </c>
      <c r="F4" s="3" t="n">
        <v>145.2</v>
      </c>
      <c r="G4" s="3">
        <f>XLOOKUP(A4, Portfolio_Master!$A:$A, Portfolio_Master!$I:$I)</f>
        <v/>
      </c>
    </row>
    <row r="5">
      <c r="A5" s="25" t="inlineStr">
        <is>
          <t>ONGC</t>
        </is>
      </c>
      <c r="B5" s="10" t="n">
        <v>279.26</v>
      </c>
      <c r="C5" s="10" t="n">
        <v>276.95</v>
      </c>
      <c r="D5" s="10" t="n">
        <v>265.3825</v>
      </c>
      <c r="E5" s="10" t="n">
        <v>296.111</v>
      </c>
      <c r="F5" s="10" t="n">
        <v>307.285</v>
      </c>
      <c r="G5" s="10">
        <f>XLOOKUP(A5, Portfolio_Master!$A:$A, Portfolio_Master!$I:$I)</f>
        <v/>
      </c>
    </row>
    <row r="6">
      <c r="A6" s="24" t="inlineStr">
        <is>
          <t>PMC Fincorp</t>
        </is>
      </c>
      <c r="B6" s="3" t="n">
        <v>1.72</v>
      </c>
      <c r="C6" s="3" t="n">
        <v>1.84</v>
      </c>
      <c r="D6" s="3" t="n">
        <v>1.63</v>
      </c>
      <c r="E6" s="3" t="n">
        <v>1.82</v>
      </c>
      <c r="F6" s="3" t="n">
        <v>1.89</v>
      </c>
      <c r="G6" s="3">
        <f>XLOOKUP(A6, Portfolio_Master!$A:$A, Portfolio_Master!$I:$I)</f>
        <v/>
      </c>
    </row>
    <row r="7">
      <c r="A7" s="25" t="inlineStr">
        <is>
          <t>Suzlon Energy</t>
        </is>
      </c>
      <c r="B7" s="10" t="n">
        <v>11.97</v>
      </c>
      <c r="C7" s="10" t="n">
        <v>39.93</v>
      </c>
      <c r="D7" s="10" t="n">
        <v>38.0513</v>
      </c>
      <c r="E7" s="10" t="n">
        <v>42.45724000000001</v>
      </c>
      <c r="F7" s="10" t="n">
        <v>44.0594</v>
      </c>
      <c r="G7" s="10">
        <f>XLOOKUP(A7, Portfolio_Master!$A:$A, Portfolio_Master!$I:$I)</f>
        <v/>
      </c>
    </row>
    <row r="8">
      <c r="A8" s="24" t="inlineStr">
        <is>
          <t>Tata Gold Exchange Traded Fund</t>
        </is>
      </c>
      <c r="B8" s="3" t="n">
        <v>16.03</v>
      </c>
      <c r="C8" s="3" t="n">
        <v>15.67</v>
      </c>
      <c r="D8" s="3" t="n">
        <v>15.2285</v>
      </c>
      <c r="E8" s="3" t="n">
        <v>16.9918</v>
      </c>
      <c r="F8" s="3" t="n">
        <v>17.633</v>
      </c>
      <c r="G8" s="3">
        <f>XLOOKUP(A8, Portfolio_Master!$A:$A, Portfolio_Master!$I:$I)</f>
        <v/>
      </c>
    </row>
    <row r="9">
      <c r="A9" s="25" t="inlineStr">
        <is>
          <t>Tata Silver Exchange Traded Fund</t>
        </is>
      </c>
      <c r="B9" s="10" t="n">
        <v>27.35</v>
      </c>
      <c r="C9" s="10" t="n">
        <v>25.77</v>
      </c>
      <c r="D9" s="10" t="n">
        <v>25.9825</v>
      </c>
      <c r="E9" s="10" t="n">
        <v>28.991</v>
      </c>
      <c r="F9" s="10" t="n">
        <v>30.085</v>
      </c>
      <c r="G9" s="10">
        <f>XLOOKUP(A9, Portfolio_Master!$A:$A, Portfolio_Master!$I:$I)</f>
        <v/>
      </c>
    </row>
    <row r="10">
      <c r="A10" s="24" t="inlineStr">
        <is>
          <t>Trident</t>
        </is>
      </c>
      <c r="B10" s="3" t="n">
        <v>26.57</v>
      </c>
      <c r="C10" s="3" t="n">
        <v>23.58</v>
      </c>
      <c r="D10" s="3" t="n">
        <v>25.24</v>
      </c>
      <c r="E10" s="3" t="n">
        <v>28.16</v>
      </c>
      <c r="F10" s="3" t="n">
        <v>29.23</v>
      </c>
      <c r="G10" s="3">
        <f>XLOOKUP(A10, Portfolio_Master!$A:$A, Portfolio_Master!$I:$I)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2026-03-04T12:29:50Z</dcterms:created>
  <dcterms:modified xsi:type="dcterms:W3CDTF">2026-03-04T12:29:50Z</dcterms:modified>
</cp:coreProperties>
</file>