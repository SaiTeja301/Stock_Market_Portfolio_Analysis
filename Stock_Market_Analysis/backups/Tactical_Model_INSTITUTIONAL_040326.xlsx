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7344" tabRatio="600" firstSheet="0" activeTab="0" autoFilterDateGrouping="1"/>
  </bookViews>
  <sheets>
    <sheet name="Fact_Portfolio" sheetId="1" state="visible" r:id="rId1"/>
    <sheet name="Dim_Stock" sheetId="2" state="visible" r:id="rId2"/>
    <sheet name="Dim_Scenario" sheetId="3" state="visible" r:id="rId3"/>
    <sheet name="Fact_Prices" sheetId="4" state="visible" r:id="rId4"/>
    <sheet name="Portfolio_Summary" sheetId="5" state="visible" r:id="rId5"/>
    <sheet name="Stock_Visualization_Data" sheetId="6" state="visible" r:id="rId6"/>
    <sheet name="PowerBI_Guide" sheetId="7" state="visible" r:id="rId7"/>
  </sheets>
  <definedNames>
    <definedName name="_xlnm._FilterDatabase" localSheetId="0" hidden="1">'Fact_Portfolio'!$A$2:$Z$2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\₹#,##0.00"/>
    <numFmt numFmtId="165" formatCode="0&quot;%&quot;"/>
    <numFmt numFmtId="166" formatCode="dd\-mmm\-yy"/>
    <numFmt numFmtId="167" formatCode="0.00&quot;%&quot;"/>
    <numFmt numFmtId="168" formatCode="#,##0.00;[Red]-#,##0.00"/>
  </numFmts>
  <fonts count="24">
    <font>
      <name val="Calibri"/>
      <family val="2"/>
      <color theme="1"/>
      <sz val="11"/>
      <scheme val="minor"/>
    </font>
    <font>
      <name val="Calibri"/>
      <family val="2"/>
      <b val="1"/>
      <color rgb="FFE3B341"/>
      <sz val="10"/>
    </font>
    <font>
      <name val="Calibri"/>
      <family val="2"/>
      <color rgb="FFC9D1D9"/>
      <sz val="10"/>
    </font>
    <font>
      <name val="Calibri"/>
      <family val="2"/>
      <b val="1"/>
      <color rgb="FFC9D1D9"/>
      <sz val="10"/>
    </font>
    <font>
      <name val="Calibri"/>
      <family val="2"/>
      <color rgb="FF3FB950"/>
      <sz val="10"/>
    </font>
    <font>
      <name val="Calibri"/>
      <family val="2"/>
      <b val="1"/>
      <color rgb="FFF85149"/>
      <sz val="10"/>
    </font>
    <font>
      <name val="Calibri"/>
      <family val="2"/>
      <b val="1"/>
      <color rgb="FFBC8CFF"/>
      <sz val="13"/>
    </font>
    <font>
      <name val="Calibri"/>
      <family val="2"/>
      <b val="1"/>
      <color rgb="FFE3B341"/>
      <sz val="13"/>
    </font>
    <font>
      <name val="Calibri"/>
      <family val="2"/>
      <b val="1"/>
      <color rgb="FF3FB950"/>
      <sz val="10"/>
    </font>
    <font>
      <name val="Calibri"/>
      <family val="2"/>
      <b val="1"/>
      <color rgb="FF58A6FF"/>
      <sz val="10"/>
    </font>
    <font>
      <name val="Calibri"/>
      <family val="2"/>
      <b val="1"/>
      <color rgb="FF3FB950"/>
      <sz val="13"/>
    </font>
    <font>
      <name val="Calibri"/>
      <family val="2"/>
      <b val="1"/>
      <color rgb="FFF85149"/>
      <sz val="13"/>
    </font>
    <font>
      <name val="Calibri"/>
      <family val="2"/>
      <b val="1"/>
      <color rgb="FFFFFFFF"/>
      <sz val="11"/>
    </font>
    <font>
      <name val="Calibri"/>
      <family val="2"/>
      <b val="1"/>
      <color rgb="FF3FB950"/>
      <sz val="11"/>
    </font>
    <font>
      <name val="Calibri"/>
      <family val="2"/>
      <color rgb="FFE3B341"/>
      <sz val="10"/>
    </font>
    <font>
      <name val="Calibri"/>
      <family val="2"/>
      <b val="1"/>
      <color rgb="FFFFFFFF"/>
      <sz val="10"/>
    </font>
    <font>
      <name val="Calibri"/>
      <b val="1"/>
      <color rgb="FFFFD700"/>
      <sz val="12"/>
    </font>
    <font>
      <name val="Calibri"/>
      <b val="1"/>
      <color rgb="FFFFFFFF"/>
      <sz val="10"/>
    </font>
    <font>
      <name val="Calibri"/>
      <color rgb="FFE8EDF2"/>
      <sz val="10"/>
    </font>
    <font>
      <name val="Calibri"/>
      <i val="1"/>
      <color rgb="FFE8EDF2"/>
      <sz val="10"/>
    </font>
    <font>
      <name val="Calibri"/>
      <color rgb="FF00C853"/>
      <sz val="10"/>
    </font>
    <font>
      <name val="Calibri"/>
      <color rgb="FF8A9BB0"/>
      <sz val="10"/>
    </font>
    <font>
      <name val="Calibri"/>
      <color rgb="FFFF3D3D"/>
      <sz val="10"/>
    </font>
    <font>
      <name val="Calibri"/>
      <b val="1"/>
      <color rgb="FF000000"/>
      <sz val="10"/>
    </font>
  </fonts>
  <fills count="13">
    <fill>
      <patternFill/>
    </fill>
    <fill>
      <patternFill patternType="gray125"/>
    </fill>
    <fill>
      <patternFill patternType="solid">
        <fgColor rgb="FF161B22"/>
      </patternFill>
    </fill>
    <fill>
      <patternFill patternType="solid">
        <fgColor rgb="FF1C2128"/>
      </patternFill>
    </fill>
    <fill>
      <patternFill patternType="solid">
        <fgColor rgb="FF0D1117"/>
      </patternFill>
    </fill>
    <fill>
      <patternFill patternType="solid">
        <fgColor rgb="FF0D1B2A"/>
      </patternFill>
    </fill>
    <fill>
      <patternFill patternType="solid">
        <fgColor rgb="FF1F3864"/>
      </patternFill>
    </fill>
    <fill>
      <patternFill patternType="solid">
        <fgColor rgb="FF111B27"/>
      </patternFill>
    </fill>
    <fill>
      <patternFill patternType="solid">
        <fgColor rgb="FF0E1720"/>
      </patternFill>
    </fill>
    <fill>
      <patternFill patternType="solid">
        <fgColor rgb="FF1A2535"/>
      </patternFill>
    </fill>
    <fill>
      <patternFill patternType="solid">
        <fgColor rgb="FF162030"/>
      </patternFill>
    </fill>
    <fill>
      <patternFill patternType="solid">
        <fgColor rgb="FFFF3D3D"/>
      </patternFill>
    </fill>
    <fill>
      <patternFill patternType="solid">
        <fgColor rgb="FFFFD700"/>
      </patternFill>
    </fill>
  </fills>
  <borders count="4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 style="thin">
        <color rgb="FF2E4057"/>
      </left>
      <right style="thin">
        <color rgb="FF2E4057"/>
      </right>
      <top style="thin">
        <color rgb="FF2E4057"/>
      </top>
      <bottom style="thin">
        <color rgb="FF2E4057"/>
      </bottom>
      <diagonal/>
    </border>
    <border>
      <left style="thin">
        <color rgb="FF2E4057"/>
      </left>
      <right style="thin">
        <color rgb="FF2E4057"/>
      </right>
      <top/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1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12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67" fontId="1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7" fontId="12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167" fontId="12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7" fillId="6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left" vertical="center"/>
    </xf>
    <xf numFmtId="0" fontId="18" fillId="7" borderId="2" applyAlignment="1" pivotButton="0" quotePrefix="0" xfId="0">
      <alignment horizontal="center" vertical="center"/>
    </xf>
    <xf numFmtId="4" fontId="18" fillId="7" borderId="2" applyAlignment="1" pivotButton="0" quotePrefix="0" xfId="0">
      <alignment horizontal="right" vertical="center"/>
    </xf>
    <xf numFmtId="0" fontId="18" fillId="7" borderId="2" applyAlignment="1" pivotButton="0" quotePrefix="0" xfId="0">
      <alignment horizontal="right" vertical="center"/>
    </xf>
    <xf numFmtId="4" fontId="19" fillId="8" borderId="2" applyAlignment="1" pivotButton="0" quotePrefix="0" xfId="0">
      <alignment horizontal="right" vertical="center"/>
    </xf>
    <xf numFmtId="10" fontId="20" fillId="8" borderId="2" applyAlignment="1" pivotButton="0" quotePrefix="0" xfId="0">
      <alignment horizontal="right" vertical="center"/>
    </xf>
    <xf numFmtId="10" fontId="19" fillId="8" borderId="2" applyAlignment="1" pivotButton="0" quotePrefix="0" xfId="0">
      <alignment horizontal="right" vertical="center"/>
    </xf>
    <xf numFmtId="2" fontId="19" fillId="8" borderId="2" applyAlignment="1" pivotButton="0" quotePrefix="0" xfId="0">
      <alignment horizontal="right" vertical="center"/>
    </xf>
    <xf numFmtId="0" fontId="21" fillId="8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left" vertical="center"/>
    </xf>
    <xf numFmtId="0" fontId="18" fillId="9" borderId="2" applyAlignment="1" pivotButton="0" quotePrefix="0" xfId="0">
      <alignment horizontal="center" vertical="center"/>
    </xf>
    <xf numFmtId="4" fontId="18" fillId="9" borderId="2" applyAlignment="1" pivotButton="0" quotePrefix="0" xfId="0">
      <alignment horizontal="right" vertical="center"/>
    </xf>
    <xf numFmtId="0" fontId="18" fillId="9" borderId="2" applyAlignment="1" pivotButton="0" quotePrefix="0" xfId="0">
      <alignment horizontal="right" vertical="center"/>
    </xf>
    <xf numFmtId="4" fontId="19" fillId="10" borderId="2" applyAlignment="1" pivotButton="0" quotePrefix="0" xfId="0">
      <alignment horizontal="right" vertical="center"/>
    </xf>
    <xf numFmtId="10" fontId="20" fillId="10" borderId="2" applyAlignment="1" pivotButton="0" quotePrefix="0" xfId="0">
      <alignment horizontal="right" vertical="center"/>
    </xf>
    <xf numFmtId="10" fontId="19" fillId="10" borderId="2" applyAlignment="1" pivotButton="0" quotePrefix="0" xfId="0">
      <alignment horizontal="right" vertical="center"/>
    </xf>
    <xf numFmtId="2" fontId="19" fillId="10" borderId="2" applyAlignment="1" pivotButton="0" quotePrefix="0" xfId="0">
      <alignment horizontal="right" vertical="center"/>
    </xf>
    <xf numFmtId="0" fontId="21" fillId="10" borderId="2" applyAlignment="1" pivotButton="0" quotePrefix="0" xfId="0">
      <alignment horizontal="center" vertical="center"/>
    </xf>
    <xf numFmtId="10" fontId="22" fillId="8" borderId="2" applyAlignment="1" pivotButton="0" quotePrefix="0" xfId="0">
      <alignment horizontal="right" vertical="center"/>
    </xf>
    <xf numFmtId="0" fontId="17" fillId="11" borderId="2" applyAlignment="1" pivotButton="0" quotePrefix="0" xfId="0">
      <alignment horizontal="center" vertical="center"/>
    </xf>
    <xf numFmtId="0" fontId="23" fillId="12" borderId="2" applyAlignment="1" pivotButton="0" quotePrefix="0" xfId="0">
      <alignment horizontal="center" vertical="center"/>
    </xf>
    <xf numFmtId="4" fontId="18" fillId="9" borderId="3" applyAlignment="1" pivotButton="0" quotePrefix="0" xfId="0">
      <alignment horizontal="right" vertical="center"/>
    </xf>
    <xf numFmtId="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4" fontId="0" fillId="0" borderId="2" pivotButton="0" quotePrefix="0" xfId="0"/>
    <xf numFmtId="4" fontId="18" fillId="9" borderId="0" applyAlignment="1" pivotButton="0" quotePrefix="0" xfId="0">
      <alignment horizontal="right" vertical="center"/>
    </xf>
    <xf numFmtId="0" fontId="0" fillId="0" borderId="2" pivotButton="0" quotePrefix="0" xfId="0"/>
    <xf numFmtId="0" fontId="18" fillId="9" borderId="0" applyAlignment="1" pivotButton="0" quotePrefix="0" xfId="0">
      <alignment horizontal="center" vertical="center"/>
    </xf>
    <xf numFmtId="4" fontId="19" fillId="10" borderId="0" applyAlignment="1" pivotButton="0" quotePrefix="0" xfId="0">
      <alignment horizontal="right" vertical="center"/>
    </xf>
    <xf numFmtId="10" fontId="0" fillId="0" borderId="2" pivotButton="0" quotePrefix="0" xfId="0"/>
    <xf numFmtId="10" fontId="20" fillId="10" borderId="0" applyAlignment="1" pivotButton="0" quotePrefix="0" xfId="0">
      <alignment horizontal="right" vertical="center"/>
    </xf>
    <xf numFmtId="10" fontId="19" fillId="10" borderId="0" applyAlignment="1" pivotButton="0" quotePrefix="0" xfId="0">
      <alignment horizontal="right" vertical="center"/>
    </xf>
    <xf numFmtId="2" fontId="0" fillId="0" borderId="2" pivotButton="0" quotePrefix="0" xfId="0"/>
    <xf numFmtId="2" fontId="19" fillId="10" borderId="0" applyAlignment="1" pivotButton="0" quotePrefix="0" xfId="0">
      <alignment horizontal="right" vertical="center"/>
    </xf>
    <xf numFmtId="0" fontId="21" fillId="10" borderId="0" applyAlignment="1" pivotButton="0" quotePrefix="0" xfId="0">
      <alignment horizontal="center" vertical="center"/>
    </xf>
    <xf numFmtId="0" fontId="0" fillId="0" borderId="0" pivotButton="0" quotePrefix="0" xfId="0"/>
    <xf numFmtId="40" fontId="20" fillId="10" borderId="2" applyAlignment="1" pivotButton="0" quotePrefix="0" xfId="0">
      <alignment horizontal="right" vertical="center"/>
    </xf>
    <xf numFmtId="40" fontId="20" fillId="8" borderId="2" applyAlignment="1" pivotButton="0" quotePrefix="0" xfId="0">
      <alignment horizontal="right" vertical="center"/>
    </xf>
    <xf numFmtId="40" fontId="22" fillId="8" borderId="2" applyAlignment="1" pivotButton="0" quotePrefix="0" xfId="0">
      <alignment horizontal="right" vertical="center"/>
    </xf>
    <xf numFmtId="40" fontId="0" fillId="0" borderId="2" pivotButton="0" quotePrefix="0" xfId="0"/>
    <xf numFmtId="40" fontId="20" fillId="10" borderId="0" applyAlignment="1" pivotButton="0" quotePrefix="0" xfId="0">
      <alignment horizontal="right" vertical="center"/>
    </xf>
    <xf numFmtId="40" fontId="0" fillId="0" borderId="0" pivotButton="0" quotePrefix="0" xfId="0"/>
    <xf numFmtId="0" fontId="16" fillId="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4" fontId="18" fillId="7" borderId="2" applyAlignment="1" pivotButton="0" quotePrefix="0" xfId="0">
      <alignment horizontal="right" vertical="center" wrapText="1"/>
    </xf>
    <xf numFmtId="168" fontId="20" fillId="10" borderId="2" applyAlignment="1" pivotButton="0" quotePrefix="0" xfId="0">
      <alignment horizontal="right" vertical="center"/>
    </xf>
    <xf numFmtId="168" fontId="20" fillId="8" borderId="2" applyAlignment="1" pivotButton="0" quotePrefix="0" xfId="0">
      <alignment horizontal="right" vertical="center"/>
    </xf>
    <xf numFmtId="168" fontId="22" fillId="8" borderId="2" applyAlignment="1" pivotButton="0" quotePrefix="0" xfId="0">
      <alignment horizontal="right" vertical="center"/>
    </xf>
    <xf numFmtId="168" fontId="0" fillId="0" borderId="2" pivotButton="0" quotePrefix="0" xfId="0"/>
    <xf numFmtId="168" fontId="20" fillId="10" borderId="0" applyAlignment="1" pivotButton="0" quotePrefix="0" xfId="0">
      <alignment horizontal="right" vertical="center"/>
    </xf>
    <xf numFmtId="168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IN"/>
              <a:t>Entry vs Current Price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Stock_Visualization_Data!$B$2</f>
              <strCache>
                <ptCount val="1"/>
                <pt idx="0">
                  <v>Entry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Stock_Visualization_Data!$A$3:$A$12</f>
              <strCache>
                <ptCount val="10"/>
                <pt idx="0">
                  <v>BPCL</v>
                </pt>
                <pt idx="1">
                  <v>ONGC</v>
                </pt>
                <pt idx="2">
                  <v>IOC</v>
                </pt>
                <pt idx="3">
                  <v>BEL</v>
                </pt>
                <pt idx="4">
                  <v>GMR Aiports</v>
                </pt>
                <pt idx="5">
                  <v>Suzlon Energy</v>
                </pt>
                <pt idx="6">
                  <v>Tata Gold Exchange Traded Fund</v>
                </pt>
                <pt idx="7">
                  <v>Tata Silver Exchange Traded Fund</v>
                </pt>
                <pt idx="8">
                  <v>GOLDBEES</v>
                </pt>
                <pt idx="9">
                  <v>SILVERBEES</v>
                </pt>
              </strCache>
            </strRef>
          </cat>
          <val>
            <numRef>
              <f>Stock_Visualization_Data!$B$3:$B$12</f>
              <numCache>
                <formatCode>\₹#,##0.00</formatCode>
                <ptCount val="10"/>
                <pt idx="0">
                  <v>372.45</v>
                </pt>
                <pt idx="1">
                  <v>279.35</v>
                </pt>
                <pt idx="2">
                  <v>179.8</v>
                </pt>
                <pt idx="3">
                  <v>450.8</v>
                </pt>
                <pt idx="4">
                  <v>105.22</v>
                </pt>
                <pt idx="5">
                  <v>40.054</v>
                </pt>
                <pt idx="6">
                  <v>16.03</v>
                </pt>
                <pt idx="7">
                  <v>27.35</v>
                </pt>
                <pt idx="8">
                  <v>132</v>
                </pt>
                <pt idx="9">
                  <v>253</v>
                </pt>
              </numCache>
            </numRef>
          </val>
        </ser>
        <ser>
          <idx val="1"/>
          <order val="1"/>
          <tx>
            <strRef>
              <f>Stock_Visualization_Data!$C$2</f>
              <strCache>
                <ptCount val="1"/>
                <pt idx="0">
                  <v>Current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Stock_Visualization_Data!$A$3:$A$12</f>
              <strCache>
                <ptCount val="10"/>
                <pt idx="0">
                  <v>BPCL</v>
                </pt>
                <pt idx="1">
                  <v>ONGC</v>
                </pt>
                <pt idx="2">
                  <v>IOC</v>
                </pt>
                <pt idx="3">
                  <v>BEL</v>
                </pt>
                <pt idx="4">
                  <v>GMR Aiports</v>
                </pt>
                <pt idx="5">
                  <v>Suzlon Energy</v>
                </pt>
                <pt idx="6">
                  <v>Tata Gold Exchange Traded Fund</v>
                </pt>
                <pt idx="7">
                  <v>Tata Silver Exchange Traded Fund</v>
                </pt>
                <pt idx="8">
                  <v>GOLDBEES</v>
                </pt>
                <pt idx="9">
                  <v>SILVERBEES</v>
                </pt>
              </strCache>
            </strRef>
          </cat>
          <val>
            <numRef>
              <f>Stock_Visualization_Data!$C$3:$C$12</f>
              <numCache>
                <formatCode>\₹#,##0.00</formatCode>
                <ptCount val="10"/>
                <pt idx="0">
                  <v>370</v>
                </pt>
                <pt idx="1">
                  <v>281.75</v>
                </pt>
                <pt idx="2">
                  <v>177.17</v>
                </pt>
                <pt idx="3">
                  <v>448.8</v>
                </pt>
                <pt idx="4">
                  <v>95.09999999999999</v>
                </pt>
                <pt idx="5">
                  <v>40.22</v>
                </pt>
                <pt idx="6">
                  <v>16.21</v>
                </pt>
                <pt idx="7">
                  <v>27.84</v>
                </pt>
                <pt idx="8">
                  <v>138.54</v>
                </pt>
                <pt idx="9">
                  <v>273.71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Stock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rich>
          </tx>
          <overlay val="1"/>
        </title>
        <numFmt formatCode="\₹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IN"/>
              <a:t>Stop Loss Levels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Stock_Visualization_Data!$D$2</f>
              <strCache>
                <ptCount val="1"/>
                <pt idx="0">
                  <v>Stop Loss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Stock_Visualization_Data!$A$3:$A$12</f>
              <strCache>
                <ptCount val="10"/>
                <pt idx="0">
                  <v>BPCL</v>
                </pt>
                <pt idx="1">
                  <v>ONGC</v>
                </pt>
                <pt idx="2">
                  <v>IOC</v>
                </pt>
                <pt idx="3">
                  <v>BEL</v>
                </pt>
                <pt idx="4">
                  <v>GMR Aiports</v>
                </pt>
                <pt idx="5">
                  <v>Suzlon Energy</v>
                </pt>
                <pt idx="6">
                  <v>Tata Gold Exchange Traded Fund</v>
                </pt>
                <pt idx="7">
                  <v>Tata Silver Exchange Traded Fund</v>
                </pt>
                <pt idx="8">
                  <v>GOLDBEES</v>
                </pt>
                <pt idx="9">
                  <v>SILVERBEES</v>
                </pt>
              </strCache>
            </strRef>
          </cat>
          <val>
            <numRef>
              <f>Stock_Visualization_Data!$D$3:$D$12</f>
              <numCache>
                <formatCode>\₹#,##0.00</formatCode>
                <ptCount val="10"/>
                <pt idx="0">
                  <v>353.8275</v>
                </pt>
                <pt idx="1">
                  <v>265.3825</v>
                </pt>
                <pt idx="2">
                  <v>170.81</v>
                </pt>
                <pt idx="3">
                  <v>428.26</v>
                </pt>
                <pt idx="4">
                  <v>99.95899999999999</v>
                </pt>
                <pt idx="5">
                  <v>38.0513</v>
                </pt>
                <pt idx="6">
                  <v>15.2285</v>
                </pt>
                <pt idx="7">
                  <v>25.9825</v>
                </pt>
                <pt idx="8">
                  <v>125.4</v>
                </pt>
                <pt idx="9">
                  <v>240.35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Stock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rich>
          </tx>
          <overlay val="1"/>
        </title>
        <numFmt formatCode="\₹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IN"/>
              <a:t>Target 1 (6%)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Stock_Visualization_Data!$E$2</f>
              <strCache>
                <ptCount val="1"/>
                <pt idx="0">
                  <v>Target 1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Stock_Visualization_Data!$A$3:$A$12</f>
              <strCache>
                <ptCount val="10"/>
                <pt idx="0">
                  <v>BPCL</v>
                </pt>
                <pt idx="1">
                  <v>ONGC</v>
                </pt>
                <pt idx="2">
                  <v>IOC</v>
                </pt>
                <pt idx="3">
                  <v>BEL</v>
                </pt>
                <pt idx="4">
                  <v>GMR Aiports</v>
                </pt>
                <pt idx="5">
                  <v>Suzlon Energy</v>
                </pt>
                <pt idx="6">
                  <v>Tata Gold Exchange Traded Fund</v>
                </pt>
                <pt idx="7">
                  <v>Tata Silver Exchange Traded Fund</v>
                </pt>
                <pt idx="8">
                  <v>GOLDBEES</v>
                </pt>
                <pt idx="9">
                  <v>SILVERBEES</v>
                </pt>
              </strCache>
            </strRef>
          </cat>
          <val>
            <numRef>
              <f>Stock_Visualization_Data!$E$3:$E$12</f>
              <numCache>
                <formatCode>\₹#,##0.00</formatCode>
                <ptCount val="10"/>
                <pt idx="0">
                  <v>394.797</v>
                </pt>
                <pt idx="1">
                  <v>296.111</v>
                </pt>
                <pt idx="2">
                  <v>190.588</v>
                </pt>
                <pt idx="3">
                  <v>477.848</v>
                </pt>
                <pt idx="4">
                  <v>111.5332</v>
                </pt>
                <pt idx="5">
                  <v>42.45724000000001</v>
                </pt>
                <pt idx="6">
                  <v>16.9918</v>
                </pt>
                <pt idx="7">
                  <v>28.991</v>
                </pt>
                <pt idx="8">
                  <v>139.92</v>
                </pt>
                <pt idx="9">
                  <v>268.18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Stock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rich>
          </tx>
          <overlay val="1"/>
        </title>
        <numFmt formatCode="\₹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IN"/>
              <a:t>Target 2-3 Comparison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Stock_Visualization_Data!$F$2</f>
              <strCache>
                <ptCount val="1"/>
                <pt idx="0">
                  <v>Target 2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Stock_Visualization_Data!$A$3:$A$12</f>
              <strCache>
                <ptCount val="10"/>
                <pt idx="0">
                  <v>BPCL</v>
                </pt>
                <pt idx="1">
                  <v>ONGC</v>
                </pt>
                <pt idx="2">
                  <v>IOC</v>
                </pt>
                <pt idx="3">
                  <v>BEL</v>
                </pt>
                <pt idx="4">
                  <v>GMR Aiports</v>
                </pt>
                <pt idx="5">
                  <v>Suzlon Energy</v>
                </pt>
                <pt idx="6">
                  <v>Tata Gold Exchange Traded Fund</v>
                </pt>
                <pt idx="7">
                  <v>Tata Silver Exchange Traded Fund</v>
                </pt>
                <pt idx="8">
                  <v>GOLDBEES</v>
                </pt>
                <pt idx="9">
                  <v>SILVERBEES</v>
                </pt>
              </strCache>
            </strRef>
          </cat>
          <val>
            <numRef>
              <f>Stock_Visualization_Data!$F$3:$F$12</f>
              <numCache>
                <formatCode>\₹#,##0.00</formatCode>
                <ptCount val="10"/>
                <pt idx="0">
                  <v>409.695</v>
                </pt>
                <pt idx="1">
                  <v>307.285</v>
                </pt>
                <pt idx="2">
                  <v>197.78</v>
                </pt>
                <pt idx="3">
                  <v>495.8800000000001</v>
                </pt>
                <pt idx="4">
                  <v>115.742</v>
                </pt>
                <pt idx="5">
                  <v>44.0594</v>
                </pt>
                <pt idx="6">
                  <v>17.633</v>
                </pt>
                <pt idx="7">
                  <v>30.085</v>
                </pt>
                <pt idx="8">
                  <v>145.2</v>
                </pt>
                <pt idx="9">
                  <v>278.3</v>
                </pt>
              </numCache>
            </numRef>
          </val>
        </ser>
        <ser>
          <idx val="1"/>
          <order val="1"/>
          <tx>
            <strRef>
              <f>Stock_Visualization_Data!$G$2</f>
              <strCache>
                <ptCount val="1"/>
                <pt idx="0">
                  <v>Target 3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Stock_Visualization_Data!$A$3:$A$12</f>
              <strCache>
                <ptCount val="10"/>
                <pt idx="0">
                  <v>BPCL</v>
                </pt>
                <pt idx="1">
                  <v>ONGC</v>
                </pt>
                <pt idx="2">
                  <v>IOC</v>
                </pt>
                <pt idx="3">
                  <v>BEL</v>
                </pt>
                <pt idx="4">
                  <v>GMR Aiports</v>
                </pt>
                <pt idx="5">
                  <v>Suzlon Energy</v>
                </pt>
                <pt idx="6">
                  <v>Tata Gold Exchange Traded Fund</v>
                </pt>
                <pt idx="7">
                  <v>Tata Silver Exchange Traded Fund</v>
                </pt>
                <pt idx="8">
                  <v>GOLDBEES</v>
                </pt>
                <pt idx="9">
                  <v>SILVERBEES</v>
                </pt>
              </strCache>
            </strRef>
          </cat>
          <val>
            <numRef>
              <f>Stock_Visualization_Data!$G$3:$G$12</f>
              <numCache>
                <formatCode>\₹#,##0.00</formatCode>
                <ptCount val="10"/>
                <pt idx="0">
                  <v>428.3174999999999</v>
                </pt>
                <pt idx="1">
                  <v>321.2525</v>
                </pt>
                <pt idx="2">
                  <v>206.77</v>
                </pt>
                <pt idx="3">
                  <v>518.42</v>
                </pt>
                <pt idx="4">
                  <v>121.003</v>
                </pt>
                <pt idx="5">
                  <v>46.0621</v>
                </pt>
                <pt idx="6">
                  <v>18.4345</v>
                </pt>
                <pt idx="7">
                  <v>31.4525</v>
                </pt>
                <pt idx="8">
                  <v>151.8</v>
                </pt>
                <pt idx="9">
                  <v>290.95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Stock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Price (₹)</a:t>
                </a:r>
              </a:p>
            </rich>
          </tx>
          <overlay val="1"/>
        </title>
        <numFmt formatCode="\₹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262759</colOff>
      <row>16</row>
      <rowOff>26276</rowOff>
    </from>
    <ext cx="72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137444</colOff>
      <row>15</row>
      <rowOff>137443</rowOff>
    </from>
    <ext cx="72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273503</colOff>
      <row>45</row>
      <rowOff>166131</rowOff>
    </from>
    <ext cx="720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45816</colOff>
      <row>46</row>
      <rowOff>72765</rowOff>
    </from>
    <ext cx="720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58A6FF"/>
    <outlinePr summaryBelow="1" summaryRight="1"/>
    <pageSetUpPr/>
  </sheetPr>
  <dimension ref="A1:Z14"/>
  <sheetViews>
    <sheetView tabSelected="1" workbookViewId="0">
      <pane ySplit="2" topLeftCell="A3" activePane="bottomLeft" state="frozen"/>
      <selection pane="bottomLeft" activeCell="J16" sqref="J16"/>
    </sheetView>
  </sheetViews>
  <sheetFormatPr baseColWidth="8" defaultRowHeight="14.4"/>
  <cols>
    <col width="26" customWidth="1" style="78" min="1" max="1"/>
    <col width="14" customWidth="1" style="78" min="2" max="2"/>
    <col width="16" customWidth="1" style="78" min="3" max="3"/>
    <col width="14" customWidth="1" style="78" min="4" max="4"/>
    <col width="13" customWidth="1" style="78" min="5" max="5"/>
    <col width="10" customWidth="1" style="78" min="6" max="6"/>
    <col width="12" customWidth="1" style="78" min="7" max="10"/>
    <col width="10" customWidth="1" style="78" min="11" max="11"/>
    <col width="15" customWidth="1" style="78" min="12" max="12"/>
    <col width="14" customWidth="1" style="78" min="13" max="14"/>
    <col width="12" customWidth="1" style="78" min="15" max="15"/>
    <col width="10" customWidth="1" style="78" min="16" max="16"/>
    <col width="14" customWidth="1" style="78" min="17" max="17"/>
    <col width="16" customWidth="1" style="78" min="18" max="18"/>
    <col width="12" customWidth="1" style="78" min="19" max="20"/>
    <col width="14" customWidth="1" style="78" min="21" max="23"/>
    <col width="16" customWidth="1" style="78" min="24" max="24"/>
    <col width="12" customWidth="1" style="78" min="25" max="25"/>
    <col width="13" customWidth="1" style="78" min="26" max="26"/>
  </cols>
  <sheetData>
    <row r="1" ht="28.05" customHeight="1" s="78">
      <c r="A1" s="77" t="inlineStr">
        <is>
          <t>📋  FACT_PORTFOLIO — Institutional Trading Data Layer</t>
        </is>
      </c>
    </row>
    <row r="2" ht="36" customHeight="1" s="78">
      <c r="A2" s="33" t="inlineStr">
        <is>
          <t>Stock</t>
        </is>
      </c>
      <c r="B2" s="33" t="inlineStr">
        <is>
          <t>Sector</t>
        </is>
      </c>
      <c r="C2" s="33" t="inlineStr">
        <is>
          <t>Sub-Sector</t>
        </is>
      </c>
      <c r="D2" s="33" t="inlineStr">
        <is>
          <t>Allocation ₹</t>
        </is>
      </c>
      <c r="E2" s="33" t="inlineStr">
        <is>
          <t>Entry Price</t>
        </is>
      </c>
      <c r="F2" s="33" t="inlineStr">
        <is>
          <t>Quantity</t>
        </is>
      </c>
      <c r="G2" s="33" t="inlineStr">
        <is>
          <t>Target 1</t>
        </is>
      </c>
      <c r="H2" s="33" t="inlineStr">
        <is>
          <t>Target 2</t>
        </is>
      </c>
      <c r="I2" s="33" t="inlineStr">
        <is>
          <t>Target 3</t>
        </is>
      </c>
      <c r="J2" s="33" t="inlineStr">
        <is>
          <t>Stop Loss</t>
        </is>
      </c>
      <c r="K2" s="33" t="inlineStr">
        <is>
          <t>Risk Level</t>
        </is>
      </c>
      <c r="L2" s="33" t="inlineStr">
        <is>
          <t>Investment Value</t>
        </is>
      </c>
      <c r="M2" s="33" t="inlineStr">
        <is>
          <t>Current Price</t>
        </is>
      </c>
      <c r="N2" s="33" t="inlineStr">
        <is>
          <t>Current Value</t>
        </is>
      </c>
      <c r="O2" s="33" t="inlineStr">
        <is>
          <t>P&amp;L ₹</t>
        </is>
      </c>
      <c r="P2" s="33" t="inlineStr">
        <is>
          <t>P&amp;L %</t>
        </is>
      </c>
      <c r="Q2" s="33" t="inlineStr">
        <is>
          <t>Risk Amount ₹</t>
        </is>
      </c>
      <c r="R2" s="33" t="inlineStr">
        <is>
          <t>Stop Loss Exit Value ₹</t>
        </is>
      </c>
      <c r="S2" s="33" t="inlineStr">
        <is>
          <t>Dist to SL %</t>
        </is>
      </c>
      <c r="T2" s="33" t="inlineStr">
        <is>
          <t>Dist to T1 %</t>
        </is>
      </c>
      <c r="U2" s="33" t="inlineStr">
        <is>
          <t>Reward:Risk Ratio</t>
        </is>
      </c>
      <c r="V2" s="33" t="inlineStr">
        <is>
          <t>Expected Value ₹</t>
        </is>
      </c>
      <c r="W2" s="33" t="inlineStr">
        <is>
          <t>Action</t>
        </is>
      </c>
      <c r="X2" s="33" t="inlineStr">
        <is>
          <t>Strategic Role</t>
        </is>
      </c>
      <c r="Y2" s="33" t="inlineStr">
        <is>
          <t>Volatility</t>
        </is>
      </c>
      <c r="Z2" s="33" t="inlineStr">
        <is>
          <t>Date</t>
        </is>
      </c>
    </row>
    <row r="3" ht="19.95" customHeight="1" s="78">
      <c r="A3" s="43" t="inlineStr">
        <is>
          <t>BEL</t>
        </is>
      </c>
      <c r="B3" s="44" t="inlineStr">
        <is>
          <t>Defence</t>
        </is>
      </c>
      <c r="C3" s="44" t="inlineStr">
        <is>
          <t>Electronics</t>
        </is>
      </c>
      <c r="D3" s="45" t="n">
        <v>14876.4</v>
      </c>
      <c r="E3" s="45" t="n">
        <v>450.8</v>
      </c>
      <c r="F3" s="46" t="n">
        <v>33</v>
      </c>
      <c r="G3" s="45" t="n">
        <v>477.848</v>
      </c>
      <c r="H3" s="45" t="n">
        <v>495.8800000000001</v>
      </c>
      <c r="I3" s="45" t="n">
        <v>518.42</v>
      </c>
      <c r="J3" s="45" t="n">
        <v>428.26</v>
      </c>
      <c r="K3" s="44" t="inlineStr">
        <is>
          <t>Medium-High</t>
        </is>
      </c>
      <c r="L3" s="45" t="n">
        <v>14876.4</v>
      </c>
      <c r="M3" s="45" t="n">
        <v>453.75</v>
      </c>
      <c r="N3" s="47" t="n">
        <v>14973.75</v>
      </c>
      <c r="O3" s="84" t="n">
        <v>97.34999999999999</v>
      </c>
      <c r="P3" s="48" t="n">
        <v>0.006544</v>
      </c>
      <c r="Q3" s="47" t="n">
        <v>743.8200000000001</v>
      </c>
      <c r="R3" s="47" t="n">
        <v>14132.58</v>
      </c>
      <c r="S3" s="49" t="n">
        <v>0.056176</v>
      </c>
      <c r="T3" s="49" t="n">
        <v>0.053109</v>
      </c>
      <c r="U3" s="50" t="n">
        <v>1.2</v>
      </c>
      <c r="V3" s="47" t="n">
        <v>892.58</v>
      </c>
      <c r="W3" s="51" t="inlineStr">
        <is>
          <t>Hold</t>
        </is>
      </c>
      <c r="X3" s="44" t="inlineStr">
        <is>
          <t>Core Hold</t>
        </is>
      </c>
      <c r="Y3" s="44" t="inlineStr">
        <is>
          <t>Medium-High</t>
        </is>
      </c>
      <c r="Z3" s="44" t="inlineStr">
        <is>
          <t>2026-03-02</t>
        </is>
      </c>
    </row>
    <row r="4" ht="19.95" customHeight="1" s="78">
      <c r="A4" s="34" t="inlineStr">
        <is>
          <t>BPCL</t>
        </is>
      </c>
      <c r="B4" s="35" t="inlineStr">
        <is>
          <t>Oil &amp; Gas</t>
        </is>
      </c>
      <c r="C4" s="35" t="inlineStr">
        <is>
          <t>Downstream OMC</t>
        </is>
      </c>
      <c r="D4" s="36" t="n">
        <v>14153.1</v>
      </c>
      <c r="E4" s="36" t="n">
        <v>372.45</v>
      </c>
      <c r="F4" s="37" t="n">
        <v>38</v>
      </c>
      <c r="G4" s="36" t="n">
        <v>394.797</v>
      </c>
      <c r="H4" s="36" t="n">
        <v>409.695</v>
      </c>
      <c r="I4" s="36" t="n">
        <v>428.3174999999999</v>
      </c>
      <c r="J4" s="36" t="n">
        <v>353.8275</v>
      </c>
      <c r="K4" s="35" t="inlineStr">
        <is>
          <t>Medium</t>
        </is>
      </c>
      <c r="L4" s="36" t="n">
        <v>14153.1</v>
      </c>
      <c r="M4" s="36" t="n">
        <v>359</v>
      </c>
      <c r="N4" s="38" t="n">
        <v>13642</v>
      </c>
      <c r="O4" s="85" t="n">
        <v>-511.1</v>
      </c>
      <c r="P4" s="39" t="n">
        <v>-0.036112</v>
      </c>
      <c r="Q4" s="38" t="n">
        <v>707.66</v>
      </c>
      <c r="R4" s="38" t="n">
        <v>13445.44</v>
      </c>
      <c r="S4" s="40" t="n">
        <v>0.014408</v>
      </c>
      <c r="T4" s="40" t="n">
        <v>0.099713</v>
      </c>
      <c r="U4" s="41" t="n">
        <v>1.2</v>
      </c>
      <c r="V4" s="38" t="n">
        <v>849.1900000000001</v>
      </c>
      <c r="W4" s="42" t="inlineStr">
        <is>
          <t>Hold</t>
        </is>
      </c>
      <c r="X4" s="35" t="inlineStr">
        <is>
          <t>Tactical Swing</t>
        </is>
      </c>
      <c r="Y4" s="35" t="inlineStr">
        <is>
          <t>Medium</t>
        </is>
      </c>
      <c r="Z4" s="35" t="inlineStr">
        <is>
          <t>2026-03-02</t>
        </is>
      </c>
    </row>
    <row r="5" ht="19.95" customHeight="1" s="78">
      <c r="A5" s="34" t="inlineStr">
        <is>
          <t>GMR Aiports</t>
        </is>
      </c>
      <c r="B5" s="35" t="inlineStr">
        <is>
          <t>Infra</t>
        </is>
      </c>
      <c r="C5" s="35" t="inlineStr">
        <is>
          <t>Aviation Infra</t>
        </is>
      </c>
      <c r="D5" s="36" t="n">
        <v>3682.7</v>
      </c>
      <c r="E5" s="36" t="n">
        <v>105.22</v>
      </c>
      <c r="F5" s="37" t="n">
        <v>35</v>
      </c>
      <c r="G5" s="36" t="n">
        <v>111.5332</v>
      </c>
      <c r="H5" s="36" t="n">
        <v>115.742</v>
      </c>
      <c r="I5" s="36" t="n">
        <v>121.003</v>
      </c>
      <c r="J5" s="36" t="n">
        <v>99.95899999999999</v>
      </c>
      <c r="K5" s="35" t="inlineStr">
        <is>
          <t>Medium</t>
        </is>
      </c>
      <c r="L5" s="36" t="n">
        <v>3682.7</v>
      </c>
      <c r="M5" s="36" t="n">
        <v>94.15000000000001</v>
      </c>
      <c r="N5" s="38" t="n">
        <v>3295.25</v>
      </c>
      <c r="O5" s="86" t="n">
        <v>-387.45</v>
      </c>
      <c r="P5" s="52" t="n">
        <v>-0.105208</v>
      </c>
      <c r="Q5" s="38" t="n">
        <v>184.14</v>
      </c>
      <c r="R5" s="38" t="n">
        <v>3498.56</v>
      </c>
      <c r="S5" s="40" t="n">
        <v>-0.061699</v>
      </c>
      <c r="T5" s="40" t="n">
        <v>0.184633</v>
      </c>
      <c r="U5" s="41" t="n">
        <v>1.2</v>
      </c>
      <c r="V5" s="38" t="n">
        <v>220.97</v>
      </c>
      <c r="W5" s="53" t="inlineStr">
        <is>
          <t>EXIT NOW</t>
        </is>
      </c>
      <c r="X5" s="35" t="inlineStr">
        <is>
          <t>Opportunistic</t>
        </is>
      </c>
      <c r="Y5" s="35" t="inlineStr">
        <is>
          <t>Medium</t>
        </is>
      </c>
      <c r="Z5" s="35" t="inlineStr">
        <is>
          <t>2026-03-02</t>
        </is>
      </c>
    </row>
    <row r="6" ht="19.95" customHeight="1" s="78">
      <c r="A6" s="34" t="inlineStr">
        <is>
          <t>GOLDBEES</t>
        </is>
      </c>
      <c r="B6" s="35" t="inlineStr">
        <is>
          <t>ETF</t>
        </is>
      </c>
      <c r="C6" s="35" t="inlineStr">
        <is>
          <t>Gold ETF</t>
        </is>
      </c>
      <c r="D6" s="83" t="n">
        <v>10108.4</v>
      </c>
      <c r="E6" s="36" t="n">
        <v>136.6</v>
      </c>
      <c r="F6" s="37" t="n">
        <v>74</v>
      </c>
      <c r="G6" s="36" t="n">
        <v>139.92</v>
      </c>
      <c r="H6" s="36" t="n">
        <v>145.2</v>
      </c>
      <c r="I6" s="36" t="n">
        <v>151.8</v>
      </c>
      <c r="J6" s="36" t="n">
        <v>125.4</v>
      </c>
      <c r="K6" s="35" t="inlineStr">
        <is>
          <t>Low</t>
        </is>
      </c>
      <c r="L6" s="36" t="n">
        <v>10108.4</v>
      </c>
      <c r="M6" s="36" t="n">
        <v>133.57</v>
      </c>
      <c r="N6" s="38" t="n">
        <v>9884.18</v>
      </c>
      <c r="O6" s="85" t="n">
        <v>-224.22</v>
      </c>
      <c r="P6" s="39" t="n">
        <v>-0.022182</v>
      </c>
      <c r="Q6" s="38" t="n">
        <v>828.8</v>
      </c>
      <c r="R6" s="38" t="n">
        <v>9279.6</v>
      </c>
      <c r="S6" s="40" t="n">
        <v>0.061166</v>
      </c>
      <c r="T6" s="40" t="n">
        <v>0.047541</v>
      </c>
      <c r="U6" s="41" t="n">
        <v>0.3</v>
      </c>
      <c r="V6" s="38" t="n">
        <v>248.64</v>
      </c>
      <c r="W6" s="42" t="inlineStr">
        <is>
          <t>Hold</t>
        </is>
      </c>
      <c r="X6" s="35" t="inlineStr">
        <is>
          <t>Hedge</t>
        </is>
      </c>
      <c r="Y6" s="35" t="inlineStr">
        <is>
          <t>Low</t>
        </is>
      </c>
      <c r="Z6" s="35" t="inlineStr">
        <is>
          <t>2026-03-02</t>
        </is>
      </c>
    </row>
    <row r="7" ht="19.95" customHeight="1" s="78">
      <c r="A7" s="34" t="inlineStr">
        <is>
          <t>IOC</t>
        </is>
      </c>
      <c r="B7" s="35" t="inlineStr">
        <is>
          <t>Oil &amp; Gas</t>
        </is>
      </c>
      <c r="C7" s="35" t="inlineStr">
        <is>
          <t>Downstream OMC</t>
        </is>
      </c>
      <c r="D7" s="36" t="n">
        <v>12945.6</v>
      </c>
      <c r="E7" s="36" t="n">
        <v>179.8</v>
      </c>
      <c r="F7" s="37" t="n">
        <v>72</v>
      </c>
      <c r="G7" s="36" t="n">
        <v>190.588</v>
      </c>
      <c r="H7" s="36" t="n">
        <v>197.78</v>
      </c>
      <c r="I7" s="36" t="n">
        <v>206.77</v>
      </c>
      <c r="J7" s="36" t="n">
        <v>170.81</v>
      </c>
      <c r="K7" s="35" t="inlineStr">
        <is>
          <t>Medium</t>
        </is>
      </c>
      <c r="L7" s="36" t="n">
        <v>12945.6</v>
      </c>
      <c r="M7" s="36" t="n">
        <v>171.97</v>
      </c>
      <c r="N7" s="38" t="n">
        <v>12381.84</v>
      </c>
      <c r="O7" s="86" t="n">
        <v>-563.76</v>
      </c>
      <c r="P7" s="52" t="n">
        <v>-0.043548</v>
      </c>
      <c r="Q7" s="38" t="n">
        <v>647.28</v>
      </c>
      <c r="R7" s="38" t="n">
        <v>12298.32</v>
      </c>
      <c r="S7" s="40" t="n">
        <v>0.006745</v>
      </c>
      <c r="T7" s="40" t="n">
        <v>0.108263</v>
      </c>
      <c r="U7" s="41" t="n">
        <v>1.2</v>
      </c>
      <c r="V7" s="38" t="n">
        <v>776.74</v>
      </c>
      <c r="W7" s="42" t="inlineStr">
        <is>
          <t>Hold</t>
        </is>
      </c>
      <c r="X7" s="35" t="inlineStr">
        <is>
          <t>Tactical Swing</t>
        </is>
      </c>
      <c r="Y7" s="35" t="inlineStr">
        <is>
          <t>Medium</t>
        </is>
      </c>
      <c r="Z7" s="35" t="inlineStr">
        <is>
          <t>2026-03-02</t>
        </is>
      </c>
    </row>
    <row r="8" ht="19.95" customHeight="1" s="78">
      <c r="A8" s="43" t="inlineStr">
        <is>
          <t>ONGC</t>
        </is>
      </c>
      <c r="B8" s="44" t="inlineStr">
        <is>
          <t>Oil &amp; Gas</t>
        </is>
      </c>
      <c r="C8" s="44" t="inlineStr">
        <is>
          <t>Upstream E&amp;P</t>
        </is>
      </c>
      <c r="D8" s="45" t="n">
        <v>12850.1</v>
      </c>
      <c r="E8" s="45" t="n">
        <v>279.35</v>
      </c>
      <c r="F8" s="46" t="n">
        <v>46</v>
      </c>
      <c r="G8" s="45" t="n">
        <v>296.111</v>
      </c>
      <c r="H8" s="45" t="n">
        <v>307.285</v>
      </c>
      <c r="I8" s="45" t="n">
        <v>321.2525</v>
      </c>
      <c r="J8" s="45" t="n">
        <v>265.3825</v>
      </c>
      <c r="K8" s="44" t="inlineStr">
        <is>
          <t>Medium</t>
        </is>
      </c>
      <c r="L8" s="45" t="n">
        <v>12850.1</v>
      </c>
      <c r="M8" s="45" t="n">
        <v>282.5</v>
      </c>
      <c r="N8" s="47" t="n">
        <v>12995</v>
      </c>
      <c r="O8" s="84" t="n">
        <v>144.9</v>
      </c>
      <c r="P8" s="48" t="n">
        <v>0.011276</v>
      </c>
      <c r="Q8" s="47" t="n">
        <v>642.51</v>
      </c>
      <c r="R8" s="47" t="n">
        <v>12207.59</v>
      </c>
      <c r="S8" s="49" t="n">
        <v>0.060593</v>
      </c>
      <c r="T8" s="49" t="n">
        <v>0.048181</v>
      </c>
      <c r="U8" s="50" t="n">
        <v>1.2</v>
      </c>
      <c r="V8" s="47" t="n">
        <v>771.01</v>
      </c>
      <c r="W8" s="51" t="inlineStr">
        <is>
          <t>Hold</t>
        </is>
      </c>
      <c r="X8" s="44" t="inlineStr">
        <is>
          <t>Tactical Swing</t>
        </is>
      </c>
      <c r="Y8" s="44" t="inlineStr">
        <is>
          <t>Medium</t>
        </is>
      </c>
      <c r="Z8" s="44" t="inlineStr">
        <is>
          <t>2026-03-02</t>
        </is>
      </c>
    </row>
    <row r="9" ht="19.95" customHeight="1" s="78">
      <c r="A9" s="34" t="inlineStr">
        <is>
          <t>PMC Fincorp</t>
        </is>
      </c>
      <c r="B9" s="35" t="inlineStr">
        <is>
          <t>Fincorp</t>
        </is>
      </c>
      <c r="C9" s="35" t="inlineStr">
        <is>
          <t>Fincorp</t>
        </is>
      </c>
      <c r="D9" s="36" t="n">
        <v>330.24</v>
      </c>
      <c r="E9" s="36" t="n">
        <v>1.72</v>
      </c>
      <c r="F9" s="37" t="n">
        <v>192</v>
      </c>
      <c r="G9" s="59" t="n">
        <v>1.82</v>
      </c>
      <c r="H9" s="59" t="n">
        <v>1.89</v>
      </c>
      <c r="I9" s="59" t="n">
        <v>1.98</v>
      </c>
      <c r="J9" s="59" t="n">
        <v>1.63</v>
      </c>
      <c r="K9" s="61" t="inlineStr">
        <is>
          <t>Medium</t>
        </is>
      </c>
      <c r="L9" s="36" t="n">
        <v>330.24</v>
      </c>
      <c r="M9" s="36" t="n">
        <v>1.82</v>
      </c>
      <c r="N9" s="59" t="n">
        <v>349.44</v>
      </c>
      <c r="O9" s="87" t="n">
        <v>19.2</v>
      </c>
      <c r="P9" s="64" t="n">
        <v>0.05814</v>
      </c>
      <c r="Q9" s="59" t="n">
        <v>17.28</v>
      </c>
      <c r="R9" s="59" t="n">
        <v>312.96</v>
      </c>
      <c r="S9" s="64" t="n">
        <v>0.104396</v>
      </c>
      <c r="T9" s="64" t="n">
        <v>0</v>
      </c>
      <c r="U9" s="67" t="n">
        <v>1.11</v>
      </c>
      <c r="V9" s="59" t="n">
        <v>19.18</v>
      </c>
      <c r="W9" s="61" t="inlineStr">
        <is>
          <t>Hold</t>
        </is>
      </c>
      <c r="X9" s="61" t="inlineStr">
        <is>
          <t>Tactical Swing</t>
        </is>
      </c>
      <c r="Y9" s="61" t="inlineStr">
        <is>
          <t>Medium</t>
        </is>
      </c>
      <c r="Z9" s="61" t="n"/>
    </row>
    <row r="10" ht="19.95" customHeight="1" s="78">
      <c r="A10" s="43" t="inlineStr">
        <is>
          <t>SILVERBEES</t>
        </is>
      </c>
      <c r="B10" s="44" t="inlineStr">
        <is>
          <t>ETF</t>
        </is>
      </c>
      <c r="C10" s="44" t="inlineStr">
        <is>
          <t>Silver ETF</t>
        </is>
      </c>
      <c r="D10" s="45" t="n">
        <v>9978.9</v>
      </c>
      <c r="E10" s="45" t="n">
        <v>269.7</v>
      </c>
      <c r="F10" s="46" t="n">
        <v>37</v>
      </c>
      <c r="G10" s="45" t="n">
        <v>268.18</v>
      </c>
      <c r="H10" s="45" t="n">
        <v>278.3</v>
      </c>
      <c r="I10" s="45" t="n">
        <v>290.95</v>
      </c>
      <c r="J10" s="45" t="n">
        <v>240.35</v>
      </c>
      <c r="K10" s="44" t="inlineStr">
        <is>
          <t>Medium</t>
        </is>
      </c>
      <c r="L10" s="45" t="n">
        <v>9978.9</v>
      </c>
      <c r="M10" s="45" t="n">
        <v>254.28</v>
      </c>
      <c r="N10" s="47" t="n">
        <v>9408.360000000001</v>
      </c>
      <c r="O10" s="84" t="n">
        <v>-570.54</v>
      </c>
      <c r="P10" s="48" t="n">
        <v>-0.057175</v>
      </c>
      <c r="Q10" s="47" t="n">
        <v>1085.95</v>
      </c>
      <c r="R10" s="47" t="n">
        <v>8892.950000000001</v>
      </c>
      <c r="S10" s="49" t="n">
        <v>0.054782</v>
      </c>
      <c r="T10" s="49" t="n">
        <v>0.054664</v>
      </c>
      <c r="U10" s="50" t="n">
        <v>-0.05</v>
      </c>
      <c r="V10" s="47" t="n">
        <v>-54.3</v>
      </c>
      <c r="W10" s="54" t="inlineStr">
        <is>
          <t>EXIT NOW</t>
        </is>
      </c>
      <c r="X10" s="44" t="inlineStr">
        <is>
          <t>Hedge</t>
        </is>
      </c>
      <c r="Y10" s="44" t="inlineStr">
        <is>
          <t>Medium</t>
        </is>
      </c>
      <c r="Z10" s="44" t="inlineStr">
        <is>
          <t>2026-03-02</t>
        </is>
      </c>
    </row>
    <row r="11" ht="19.95" customHeight="1" s="78">
      <c r="A11" s="43" t="inlineStr">
        <is>
          <t>Suzlon Energy</t>
        </is>
      </c>
      <c r="B11" s="44" t="inlineStr">
        <is>
          <t>Energy</t>
        </is>
      </c>
      <c r="C11" s="44" t="inlineStr">
        <is>
          <t>Renewable Wind</t>
        </is>
      </c>
      <c r="D11" s="45" t="n">
        <v>299.25</v>
      </c>
      <c r="E11" s="45" t="n">
        <v>11.97</v>
      </c>
      <c r="F11" s="46" t="n">
        <v>25</v>
      </c>
      <c r="G11" s="45" t="n">
        <v>42.45724000000001</v>
      </c>
      <c r="H11" s="45" t="n">
        <v>44.0594</v>
      </c>
      <c r="I11" s="45" t="n">
        <v>46.0621</v>
      </c>
      <c r="J11" s="45" t="n">
        <v>38.0513</v>
      </c>
      <c r="K11" s="44" t="inlineStr">
        <is>
          <t>Medium-High</t>
        </is>
      </c>
      <c r="L11" s="45" t="n">
        <v>299.25</v>
      </c>
      <c r="M11" s="45" t="n">
        <v>40.28</v>
      </c>
      <c r="N11" s="47" t="n">
        <v>1007</v>
      </c>
      <c r="O11" s="84" t="n">
        <v>707.75</v>
      </c>
      <c r="P11" s="48" t="n">
        <v>2.365079</v>
      </c>
      <c r="Q11" s="47" t="n">
        <v>-652.03</v>
      </c>
      <c r="R11" s="47" t="n">
        <v>951.28</v>
      </c>
      <c r="S11" s="49" t="n">
        <v>0.05533</v>
      </c>
      <c r="T11" s="49" t="n">
        <v>0.054053</v>
      </c>
      <c r="U11" s="50" t="n">
        <v>0</v>
      </c>
      <c r="V11" s="47" t="n">
        <v>-0</v>
      </c>
      <c r="W11" s="51" t="inlineStr">
        <is>
          <t>Reduce 30%</t>
        </is>
      </c>
      <c r="X11" s="44" t="inlineStr">
        <is>
          <t>Speculative</t>
        </is>
      </c>
      <c r="Y11" s="44" t="inlineStr">
        <is>
          <t>Medium-High</t>
        </is>
      </c>
      <c r="Z11" s="44" t="inlineStr">
        <is>
          <t>2026-03-02</t>
        </is>
      </c>
    </row>
    <row r="12" ht="19.95" customHeight="1" s="78">
      <c r="A12" s="34" t="inlineStr">
        <is>
          <t>Tata Gold Exchange Traded Fund</t>
        </is>
      </c>
      <c r="B12" s="35" t="inlineStr">
        <is>
          <t>ETF</t>
        </is>
      </c>
      <c r="C12" s="35" t="inlineStr">
        <is>
          <t>Gold ETF</t>
        </is>
      </c>
      <c r="D12" s="36" t="n">
        <v>14186.55</v>
      </c>
      <c r="E12" s="36" t="n">
        <v>16.03</v>
      </c>
      <c r="F12" s="37" t="n">
        <v>885</v>
      </c>
      <c r="G12" s="36" t="n">
        <v>16.9918</v>
      </c>
      <c r="H12" s="36" t="n">
        <v>17.633</v>
      </c>
      <c r="I12" s="36" t="n">
        <v>18.4345</v>
      </c>
      <c r="J12" s="36" t="n">
        <v>15.2285</v>
      </c>
      <c r="K12" s="35" t="inlineStr">
        <is>
          <t>Low</t>
        </is>
      </c>
      <c r="L12" s="36" t="n">
        <v>14186.55</v>
      </c>
      <c r="M12" s="36" t="n">
        <v>15.65</v>
      </c>
      <c r="N12" s="38" t="n">
        <v>13850.25</v>
      </c>
      <c r="O12" s="85" t="n">
        <v>-336.3</v>
      </c>
      <c r="P12" s="39" t="n">
        <v>-0.023706</v>
      </c>
      <c r="Q12" s="38" t="n">
        <v>709.33</v>
      </c>
      <c r="R12" s="38" t="n">
        <v>13477.22</v>
      </c>
      <c r="S12" s="40" t="n">
        <v>0.026933</v>
      </c>
      <c r="T12" s="40" t="n">
        <v>0.08573799999999999</v>
      </c>
      <c r="U12" s="41" t="n">
        <v>1.2</v>
      </c>
      <c r="V12" s="38" t="n">
        <v>851.2</v>
      </c>
      <c r="W12" s="42" t="inlineStr">
        <is>
          <t>Hold</t>
        </is>
      </c>
      <c r="X12" s="35" t="inlineStr">
        <is>
          <t>Hedge</t>
        </is>
      </c>
      <c r="Y12" s="35" t="inlineStr">
        <is>
          <t>Low</t>
        </is>
      </c>
      <c r="Z12" s="35" t="inlineStr">
        <is>
          <t>2026-03-02</t>
        </is>
      </c>
    </row>
    <row r="13">
      <c r="A13" s="43" t="inlineStr">
        <is>
          <t>Tata Silver Exchange Traded Fund</t>
        </is>
      </c>
      <c r="B13" s="44" t="inlineStr">
        <is>
          <t>ETF</t>
        </is>
      </c>
      <c r="C13" s="44" t="inlineStr">
        <is>
          <t>Silver ETF</t>
        </is>
      </c>
      <c r="D13" s="45" t="n">
        <v>14085.25</v>
      </c>
      <c r="E13" s="45" t="n">
        <v>27.35</v>
      </c>
      <c r="F13" s="46" t="n">
        <v>515</v>
      </c>
      <c r="G13" s="60" t="n">
        <v>28.991</v>
      </c>
      <c r="H13" s="60" t="n">
        <v>30.085</v>
      </c>
      <c r="I13" s="60" t="n">
        <v>31.4525</v>
      </c>
      <c r="J13" s="60" t="n">
        <v>25.9825</v>
      </c>
      <c r="K13" s="62" t="inlineStr">
        <is>
          <t>Medium</t>
        </is>
      </c>
      <c r="L13" s="45" t="n">
        <v>14085.25</v>
      </c>
      <c r="M13" s="55" t="n">
        <v>25.67</v>
      </c>
      <c r="N13" s="63" t="n">
        <v>13220.05</v>
      </c>
      <c r="O13" s="88" t="n">
        <v>-865.2</v>
      </c>
      <c r="P13" s="65" t="n">
        <v>-0.061426</v>
      </c>
      <c r="Q13" s="63" t="n">
        <v>704.26</v>
      </c>
      <c r="R13" s="63" t="n">
        <v>13380.99</v>
      </c>
      <c r="S13" s="66" t="n">
        <v>-0.012174</v>
      </c>
      <c r="T13" s="66" t="n">
        <v>0.129373</v>
      </c>
      <c r="U13" s="68" t="n">
        <v>1.2</v>
      </c>
      <c r="V13" s="63" t="n">
        <v>845.11</v>
      </c>
      <c r="W13" s="69" t="inlineStr">
        <is>
          <t>EXIT NOW</t>
        </is>
      </c>
      <c r="X13" s="62" t="inlineStr">
        <is>
          <t>Hold</t>
        </is>
      </c>
      <c r="Y13" s="62" t="inlineStr">
        <is>
          <t>Medium</t>
        </is>
      </c>
      <c r="Z13" s="62" t="inlineStr">
        <is>
          <t>2026-03-02</t>
        </is>
      </c>
    </row>
    <row r="14">
      <c r="A14" s="43" t="inlineStr">
        <is>
          <t>Trident</t>
        </is>
      </c>
      <c r="B14" s="44" t="inlineStr">
        <is>
          <t>Textail</t>
        </is>
      </c>
      <c r="C14" s="44" t="inlineStr">
        <is>
          <t>Textail</t>
        </is>
      </c>
      <c r="D14" s="45" t="n">
        <v>79.70999999999999</v>
      </c>
      <c r="E14" s="45" t="n">
        <v>26.57</v>
      </c>
      <c r="F14" s="46" t="n">
        <v>3</v>
      </c>
      <c r="G14" s="56" t="n">
        <v>28.16</v>
      </c>
      <c r="H14" s="56" t="n">
        <v>29.23</v>
      </c>
      <c r="I14" s="56" t="n">
        <v>30.56</v>
      </c>
      <c r="J14" s="56" t="n">
        <v>25.24</v>
      </c>
      <c r="K14" t="inlineStr">
        <is>
          <t>Medium</t>
        </is>
      </c>
      <c r="L14" s="45" t="n">
        <v>79.70999999999999</v>
      </c>
      <c r="M14" s="55" t="n">
        <v>23.71</v>
      </c>
      <c r="N14" s="56" t="n">
        <v>71.13</v>
      </c>
      <c r="O14" s="89" t="n">
        <v>-8.58</v>
      </c>
      <c r="P14" s="57" t="n">
        <v>-0.10764</v>
      </c>
      <c r="Q14" s="56" t="n">
        <v>3.99</v>
      </c>
      <c r="R14" s="56" t="n">
        <v>75.72</v>
      </c>
      <c r="S14" s="57" t="n">
        <v>-0.06453</v>
      </c>
      <c r="T14" s="57" t="n">
        <v>0.187685</v>
      </c>
      <c r="U14" s="58" t="n">
        <v>1.2</v>
      </c>
      <c r="V14" s="56" t="n">
        <v>4.79</v>
      </c>
      <c r="W14" t="inlineStr">
        <is>
          <t>EXIT NOW</t>
        </is>
      </c>
      <c r="X14" t="inlineStr">
        <is>
          <t>Tactical Swing</t>
        </is>
      </c>
      <c r="Y14" t="inlineStr">
        <is>
          <t>Medium</t>
        </is>
      </c>
    </row>
  </sheetData>
  <autoFilter ref="A2:Z2">
    <sortState ref="A3:Z14">
      <sortCondition ref="A2"/>
    </sortState>
  </autoFilter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BC8CFF"/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14.4"/>
  <cols>
    <col width="32" customWidth="1" style="78" min="1" max="1"/>
    <col width="14" customWidth="1" style="78" min="2" max="2"/>
    <col width="18" customWidth="1" style="78" min="3" max="3"/>
    <col width="15" customWidth="1" style="78" min="4" max="4"/>
    <col width="16" customWidth="1" style="78" min="5" max="5"/>
    <col width="14" customWidth="1" style="78" min="6" max="6"/>
  </cols>
  <sheetData>
    <row r="1" ht="28.05" customHeight="1" s="78">
      <c r="A1" s="79" t="inlineStr">
        <is>
          <t>📂  DIM_STOCK — Stock Master Dimension</t>
        </is>
      </c>
    </row>
    <row r="2">
      <c r="A2" s="1" t="inlineStr">
        <is>
          <t>Stock Name</t>
        </is>
      </c>
      <c r="B2" s="1" t="inlineStr">
        <is>
          <t>Sector</t>
        </is>
      </c>
      <c r="C2" s="1" t="inlineStr">
        <is>
          <t>Sub-Sector</t>
        </is>
      </c>
      <c r="D2" s="1" t="inlineStr">
        <is>
          <t>Volatility Level</t>
        </is>
      </c>
      <c r="E2" s="1" t="inlineStr">
        <is>
          <t>Strategic Role</t>
        </is>
      </c>
      <c r="F2" s="1" t="inlineStr">
        <is>
          <t>Oil Sensitive?</t>
        </is>
      </c>
    </row>
    <row r="3">
      <c r="A3" s="9" t="inlineStr">
        <is>
          <t>BPCL</t>
        </is>
      </c>
      <c r="B3" s="2" t="inlineStr">
        <is>
          <t>Oil &amp; Gas</t>
        </is>
      </c>
      <c r="C3" s="2" t="inlineStr">
        <is>
          <t>Downstream OMC</t>
        </is>
      </c>
      <c r="D3" s="2" t="inlineStr">
        <is>
          <t>Medium</t>
        </is>
      </c>
      <c r="E3" s="2" t="inlineStr">
        <is>
          <t>Tactical Swing</t>
        </is>
      </c>
      <c r="F3" s="2" t="inlineStr">
        <is>
          <t>Yes</t>
        </is>
      </c>
    </row>
    <row r="4">
      <c r="A4" s="10" t="inlineStr">
        <is>
          <t>ONGC</t>
        </is>
      </c>
      <c r="B4" s="5" t="inlineStr">
        <is>
          <t>Oil &amp; Gas</t>
        </is>
      </c>
      <c r="C4" s="5" t="inlineStr">
        <is>
          <t>Upstream E&amp;P</t>
        </is>
      </c>
      <c r="D4" s="5" t="inlineStr">
        <is>
          <t>Medium</t>
        </is>
      </c>
      <c r="E4" s="5" t="inlineStr">
        <is>
          <t>Tactical Swing</t>
        </is>
      </c>
      <c r="F4" s="5" t="inlineStr">
        <is>
          <t>Yes</t>
        </is>
      </c>
    </row>
    <row r="5">
      <c r="A5" s="9" t="inlineStr">
        <is>
          <t>IOC</t>
        </is>
      </c>
      <c r="B5" s="2" t="inlineStr">
        <is>
          <t>Oil &amp; Gas</t>
        </is>
      </c>
      <c r="C5" s="2" t="inlineStr">
        <is>
          <t>Downstream OMC</t>
        </is>
      </c>
      <c r="D5" s="2" t="inlineStr">
        <is>
          <t>Medium</t>
        </is>
      </c>
      <c r="E5" s="2" t="inlineStr">
        <is>
          <t>Tactical Swing</t>
        </is>
      </c>
      <c r="F5" s="2" t="inlineStr">
        <is>
          <t>Yes</t>
        </is>
      </c>
    </row>
    <row r="6">
      <c r="A6" s="10" t="inlineStr">
        <is>
          <t>BEL</t>
        </is>
      </c>
      <c r="B6" s="5" t="inlineStr">
        <is>
          <t>Defence</t>
        </is>
      </c>
      <c r="C6" s="5" t="inlineStr">
        <is>
          <t>Electronics</t>
        </is>
      </c>
      <c r="D6" s="5" t="inlineStr">
        <is>
          <t>Medium-High</t>
        </is>
      </c>
      <c r="E6" s="5" t="inlineStr">
        <is>
          <t>Core Hold</t>
        </is>
      </c>
      <c r="F6" s="5" t="inlineStr">
        <is>
          <t>No</t>
        </is>
      </c>
    </row>
    <row r="7">
      <c r="A7" s="9" t="inlineStr">
        <is>
          <t>GMR Aiports</t>
        </is>
      </c>
      <c r="B7" s="2" t="inlineStr">
        <is>
          <t>Infra</t>
        </is>
      </c>
      <c r="C7" s="2" t="inlineStr">
        <is>
          <t>Aviation Infra</t>
        </is>
      </c>
      <c r="D7" s="2" t="inlineStr">
        <is>
          <t>Medium</t>
        </is>
      </c>
      <c r="E7" s="2" t="inlineStr">
        <is>
          <t>Opportunistic</t>
        </is>
      </c>
      <c r="F7" s="2" t="inlineStr">
        <is>
          <t>Partial</t>
        </is>
      </c>
    </row>
    <row r="8">
      <c r="A8" s="10" t="inlineStr">
        <is>
          <t>Suzlon Energy</t>
        </is>
      </c>
      <c r="B8" s="5" t="inlineStr">
        <is>
          <t>Energy</t>
        </is>
      </c>
      <c r="C8" s="5" t="inlineStr">
        <is>
          <t>Renewable Wind</t>
        </is>
      </c>
      <c r="D8" s="5" t="inlineStr">
        <is>
          <t>Medium-High</t>
        </is>
      </c>
      <c r="E8" s="5" t="inlineStr">
        <is>
          <t>Speculative</t>
        </is>
      </c>
      <c r="F8" s="5" t="inlineStr">
        <is>
          <t>No</t>
        </is>
      </c>
    </row>
    <row r="9">
      <c r="A9" s="9" t="inlineStr">
        <is>
          <t>Tata Gold Exchange Traded Fund</t>
        </is>
      </c>
      <c r="B9" s="2" t="inlineStr">
        <is>
          <t>ETF</t>
        </is>
      </c>
      <c r="C9" s="2" t="inlineStr">
        <is>
          <t>Gold ETF</t>
        </is>
      </c>
      <c r="D9" s="2" t="inlineStr">
        <is>
          <t>Low</t>
        </is>
      </c>
      <c r="E9" s="2" t="inlineStr">
        <is>
          <t>Hedge</t>
        </is>
      </c>
      <c r="F9" s="2" t="inlineStr">
        <is>
          <t>No</t>
        </is>
      </c>
    </row>
    <row r="10">
      <c r="A10" s="10" t="inlineStr">
        <is>
          <t>Tata Silver Exchange Traded Fu</t>
        </is>
      </c>
      <c r="B10" s="5" t="inlineStr">
        <is>
          <t>ETF</t>
        </is>
      </c>
      <c r="C10" s="5" t="inlineStr">
        <is>
          <t>Silver ETF</t>
        </is>
      </c>
      <c r="D10" s="5" t="inlineStr">
        <is>
          <t>Medium</t>
        </is>
      </c>
      <c r="E10" s="5" t="inlineStr">
        <is>
          <t>Hedge</t>
        </is>
      </c>
      <c r="F10" s="5" t="inlineStr">
        <is>
          <t>No</t>
        </is>
      </c>
    </row>
    <row r="11">
      <c r="A11" s="9" t="inlineStr">
        <is>
          <t>GOLDBEES</t>
        </is>
      </c>
      <c r="B11" s="2" t="inlineStr">
        <is>
          <t>ETF</t>
        </is>
      </c>
      <c r="C11" s="2" t="inlineStr">
        <is>
          <t>Gold ETF</t>
        </is>
      </c>
      <c r="D11" s="2" t="inlineStr">
        <is>
          <t>Low</t>
        </is>
      </c>
      <c r="E11" s="2" t="inlineStr">
        <is>
          <t>Hedge</t>
        </is>
      </c>
      <c r="F11" s="2" t="inlineStr">
        <is>
          <t>No</t>
        </is>
      </c>
    </row>
    <row r="12">
      <c r="A12" s="10" t="inlineStr">
        <is>
          <t>SILVERBEES</t>
        </is>
      </c>
      <c r="B12" s="5" t="inlineStr">
        <is>
          <t>ETF</t>
        </is>
      </c>
      <c r="C12" s="5" t="inlineStr">
        <is>
          <t>Silver ETF</t>
        </is>
      </c>
      <c r="D12" s="5" t="inlineStr">
        <is>
          <t>Medium</t>
        </is>
      </c>
      <c r="E12" s="5" t="inlineStr">
        <is>
          <t>Hedge</t>
        </is>
      </c>
      <c r="F12" s="5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3B341"/>
    <outlinePr summaryBelow="1" summaryRight="1"/>
    <pageSetUpPr/>
  </sheetPr>
  <dimension ref="A1:F5"/>
  <sheetViews>
    <sheetView workbookViewId="0">
      <selection activeCell="A1" sqref="A1:F1"/>
    </sheetView>
  </sheetViews>
  <sheetFormatPr baseColWidth="8" defaultRowHeight="14.4"/>
  <cols>
    <col width="14" customWidth="1" style="78" min="1" max="1"/>
    <col width="15" customWidth="1" style="78" min="2" max="3"/>
    <col width="16" customWidth="1" style="78" min="4" max="4"/>
    <col width="26" customWidth="1" style="78" min="5" max="5"/>
    <col width="14" customWidth="1" style="78" min="6" max="6"/>
  </cols>
  <sheetData>
    <row r="1" ht="28.05" customHeight="1" s="78">
      <c r="A1" s="80" t="inlineStr">
        <is>
          <t>🎯  DIM_SCENARIO — Market Scenario Simulation</t>
        </is>
      </c>
    </row>
    <row r="2">
      <c r="A2" s="1" t="inlineStr">
        <is>
          <t>Scenario</t>
        </is>
      </c>
      <c r="B2" s="1" t="inlineStr">
        <is>
          <t>Oil Change %</t>
        </is>
      </c>
      <c r="C2" s="1" t="inlineStr">
        <is>
          <t>Gold Change %</t>
        </is>
      </c>
      <c r="D2" s="1" t="inlineStr">
        <is>
          <t>Nifty Change %</t>
        </is>
      </c>
      <c r="E2" s="1" t="inlineStr">
        <is>
          <t>Projected Portfolio Value ₹</t>
        </is>
      </c>
      <c r="F2" s="1" t="inlineStr">
        <is>
          <t>Probability %</t>
        </is>
      </c>
    </row>
    <row r="3">
      <c r="A3" s="11" t="inlineStr">
        <is>
          <t>Bullish</t>
        </is>
      </c>
      <c r="B3" s="4" t="n">
        <v>0.08</v>
      </c>
      <c r="C3" s="4" t="n">
        <v>0.06</v>
      </c>
      <c r="D3" s="4" t="n">
        <v>-0.02</v>
      </c>
      <c r="E3" s="3" t="n">
        <v>105685.614</v>
      </c>
      <c r="F3" s="12" t="n">
        <v>30</v>
      </c>
    </row>
    <row r="4">
      <c r="A4" s="13" t="inlineStr">
        <is>
          <t>Neutral</t>
        </is>
      </c>
      <c r="B4" s="7" t="n">
        <v>0.02</v>
      </c>
      <c r="C4" s="7" t="n">
        <v>0.02</v>
      </c>
      <c r="D4" s="7" t="n">
        <v>0</v>
      </c>
      <c r="E4" s="6" t="n">
        <v>99814.19100000001</v>
      </c>
      <c r="F4" s="14" t="n">
        <v>40</v>
      </c>
    </row>
    <row r="5">
      <c r="A5" s="8" t="inlineStr">
        <is>
          <t>Bearish</t>
        </is>
      </c>
      <c r="B5" s="4" t="n">
        <v>-0.05</v>
      </c>
      <c r="C5" s="4" t="n">
        <v>-0.03</v>
      </c>
      <c r="D5" s="4" t="n">
        <v>-0.04</v>
      </c>
      <c r="E5" s="3" t="n">
        <v>92964.19749999999</v>
      </c>
      <c r="F5" s="12" t="n">
        <v>30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FB950"/>
    <outlinePr summaryBelow="1" summaryRight="1"/>
    <pageSetUpPr/>
  </sheetPr>
  <dimension ref="A1:F52"/>
  <sheetViews>
    <sheetView workbookViewId="0">
      <pane ySplit="2" topLeftCell="A35" activePane="bottomLeft" state="frozen"/>
      <selection pane="bottomLeft" activeCell="E37" sqref="E37"/>
    </sheetView>
  </sheetViews>
  <sheetFormatPr baseColWidth="8" defaultRowHeight="14.4"/>
  <cols>
    <col width="12" customWidth="1" style="78" min="1" max="1"/>
    <col width="14" customWidth="1" style="78" min="2" max="2"/>
    <col width="30" customWidth="1" style="78" min="3" max="3"/>
    <col width="15" customWidth="1" style="78" min="4" max="4"/>
    <col width="16" customWidth="1" style="78" min="5" max="5"/>
    <col width="20" customWidth="1" style="78" min="6" max="6"/>
  </cols>
  <sheetData>
    <row r="1" ht="28.05" customHeight="1" s="78">
      <c r="A1" s="81" t="inlineStr">
        <is>
          <t>📈  FACT_PRICES — Daily Price Time Series</t>
        </is>
      </c>
    </row>
    <row r="2">
      <c r="A2" s="1" t="inlineStr">
        <is>
          <t>Day</t>
        </is>
      </c>
      <c r="B2" s="1" t="inlineStr">
        <is>
          <t>Date</t>
        </is>
      </c>
      <c r="C2" s="1" t="inlineStr">
        <is>
          <t>Stock</t>
        </is>
      </c>
      <c r="D2" s="1" t="inlineStr">
        <is>
          <t>Current Price</t>
        </is>
      </c>
      <c r="E2" s="1" t="inlineStr">
        <is>
          <t>Daily Change %</t>
        </is>
      </c>
      <c r="F2" s="1" t="inlineStr">
        <is>
          <t>Notes</t>
        </is>
      </c>
    </row>
    <row r="3">
      <c r="A3" s="2" t="inlineStr">
        <is>
          <t>Monday</t>
        </is>
      </c>
      <c r="B3" s="15" t="n">
        <v>46083</v>
      </c>
      <c r="C3" s="2" t="inlineStr">
        <is>
          <t>BPCL</t>
        </is>
      </c>
      <c r="D3" s="2" t="n"/>
      <c r="E3" s="2" t="n"/>
      <c r="F3" s="2" t="n"/>
    </row>
    <row r="4">
      <c r="A4" s="5" t="inlineStr">
        <is>
          <t>Monday</t>
        </is>
      </c>
      <c r="B4" s="16" t="n">
        <v>46083</v>
      </c>
      <c r="C4" s="5" t="inlineStr">
        <is>
          <t>ONGC</t>
        </is>
      </c>
      <c r="D4" s="5" t="n"/>
      <c r="E4" s="5" t="n"/>
      <c r="F4" s="5" t="n"/>
    </row>
    <row r="5">
      <c r="A5" s="2" t="inlineStr">
        <is>
          <t>Monday</t>
        </is>
      </c>
      <c r="B5" s="15" t="n">
        <v>46083</v>
      </c>
      <c r="C5" s="2" t="inlineStr">
        <is>
          <t>IOC</t>
        </is>
      </c>
      <c r="D5" s="2" t="n"/>
      <c r="E5" s="2" t="n"/>
      <c r="F5" s="2" t="n"/>
    </row>
    <row r="6">
      <c r="A6" s="5" t="inlineStr">
        <is>
          <t>Monday</t>
        </is>
      </c>
      <c r="B6" s="16" t="n">
        <v>46083</v>
      </c>
      <c r="C6" s="5" t="inlineStr">
        <is>
          <t>BEL</t>
        </is>
      </c>
      <c r="D6" s="5" t="n"/>
      <c r="E6" s="5" t="n"/>
      <c r="F6" s="5" t="n"/>
    </row>
    <row r="7">
      <c r="A7" s="2" t="inlineStr">
        <is>
          <t>Monday</t>
        </is>
      </c>
      <c r="B7" s="15" t="n">
        <v>46083</v>
      </c>
      <c r="C7" s="2" t="inlineStr">
        <is>
          <t>GMR Aiports</t>
        </is>
      </c>
      <c r="D7" s="2" t="n"/>
      <c r="E7" s="2" t="n"/>
      <c r="F7" s="2" t="n"/>
    </row>
    <row r="8">
      <c r="A8" s="5" t="inlineStr">
        <is>
          <t>Monday</t>
        </is>
      </c>
      <c r="B8" s="16" t="n">
        <v>46083</v>
      </c>
      <c r="C8" s="5" t="inlineStr">
        <is>
          <t>Suzlon Energy</t>
        </is>
      </c>
      <c r="D8" s="5" t="n"/>
      <c r="E8" s="5" t="n"/>
      <c r="F8" s="5" t="n"/>
    </row>
    <row r="9">
      <c r="A9" s="2" t="inlineStr">
        <is>
          <t>Monday</t>
        </is>
      </c>
      <c r="B9" s="15" t="n">
        <v>46083</v>
      </c>
      <c r="C9" s="2" t="inlineStr">
        <is>
          <t>Tata Gold Exchange Traded Fund</t>
        </is>
      </c>
      <c r="D9" s="2" t="n"/>
      <c r="E9" s="2" t="n"/>
      <c r="F9" s="2" t="n"/>
    </row>
    <row r="10">
      <c r="A10" s="5" t="inlineStr">
        <is>
          <t>Monday</t>
        </is>
      </c>
      <c r="B10" s="16" t="n">
        <v>46083</v>
      </c>
      <c r="C10" s="5" t="inlineStr">
        <is>
          <t>Tata Silver Exchange Traded Fund</t>
        </is>
      </c>
      <c r="D10" s="5" t="n"/>
      <c r="E10" s="5" t="n"/>
      <c r="F10" s="5" t="n"/>
    </row>
    <row r="11">
      <c r="A11" s="2" t="inlineStr">
        <is>
          <t>Monday</t>
        </is>
      </c>
      <c r="B11" s="15" t="n">
        <v>46083</v>
      </c>
      <c r="C11" s="2" t="inlineStr">
        <is>
          <t>GOLDBEES</t>
        </is>
      </c>
      <c r="D11" s="2" t="n"/>
      <c r="E11" s="2" t="n"/>
      <c r="F11" s="2" t="n"/>
    </row>
    <row r="12">
      <c r="A12" s="5" t="inlineStr">
        <is>
          <t>Monday</t>
        </is>
      </c>
      <c r="B12" s="16" t="n">
        <v>46083</v>
      </c>
      <c r="C12" s="5" t="inlineStr">
        <is>
          <t>SILVERBEES</t>
        </is>
      </c>
      <c r="D12" s="5" t="n"/>
      <c r="E12" s="5" t="n"/>
      <c r="F12" s="5" t="n"/>
    </row>
    <row r="13">
      <c r="A13" s="2" t="inlineStr">
        <is>
          <t>Tuesday</t>
        </is>
      </c>
      <c r="B13" s="15" t="n">
        <v>46084</v>
      </c>
      <c r="C13" s="2" t="inlineStr">
        <is>
          <t>BPCL</t>
        </is>
      </c>
      <c r="D13" s="2" t="n"/>
      <c r="E13" s="2" t="n"/>
      <c r="F13" s="2" t="n"/>
    </row>
    <row r="14">
      <c r="A14" s="5" t="inlineStr">
        <is>
          <t>Tuesday</t>
        </is>
      </c>
      <c r="B14" s="16" t="n">
        <v>46084</v>
      </c>
      <c r="C14" s="5" t="inlineStr">
        <is>
          <t>ONGC</t>
        </is>
      </c>
      <c r="D14" s="5" t="n"/>
      <c r="E14" s="5" t="n"/>
      <c r="F14" s="5" t="n"/>
    </row>
    <row r="15">
      <c r="A15" s="2" t="inlineStr">
        <is>
          <t>Tuesday</t>
        </is>
      </c>
      <c r="B15" s="15" t="n">
        <v>46084</v>
      </c>
      <c r="C15" s="2" t="inlineStr">
        <is>
          <t>IOC</t>
        </is>
      </c>
      <c r="D15" s="2" t="n"/>
      <c r="E15" s="2" t="n"/>
      <c r="F15" s="2" t="n"/>
    </row>
    <row r="16">
      <c r="A16" s="5" t="inlineStr">
        <is>
          <t>Tuesday</t>
        </is>
      </c>
      <c r="B16" s="16" t="n">
        <v>46084</v>
      </c>
      <c r="C16" s="5" t="inlineStr">
        <is>
          <t>BEL</t>
        </is>
      </c>
      <c r="D16" s="5" t="n"/>
      <c r="E16" s="5" t="n"/>
      <c r="F16" s="5" t="n"/>
    </row>
    <row r="17">
      <c r="A17" s="2" t="inlineStr">
        <is>
          <t>Tuesday</t>
        </is>
      </c>
      <c r="B17" s="15" t="n">
        <v>46084</v>
      </c>
      <c r="C17" s="2" t="inlineStr">
        <is>
          <t>GMR Aiports</t>
        </is>
      </c>
      <c r="D17" s="2" t="n"/>
      <c r="E17" s="2" t="n"/>
      <c r="F17" s="2" t="n"/>
    </row>
    <row r="18">
      <c r="A18" s="5" t="inlineStr">
        <is>
          <t>Tuesday</t>
        </is>
      </c>
      <c r="B18" s="16" t="n">
        <v>46084</v>
      </c>
      <c r="C18" s="5" t="inlineStr">
        <is>
          <t>Suzlon Energy</t>
        </is>
      </c>
      <c r="D18" s="5" t="n"/>
      <c r="E18" s="5" t="n"/>
      <c r="F18" s="5" t="n"/>
    </row>
    <row r="19">
      <c r="A19" s="2" t="inlineStr">
        <is>
          <t>Tuesday</t>
        </is>
      </c>
      <c r="B19" s="15" t="n">
        <v>46084</v>
      </c>
      <c r="C19" s="2" t="inlineStr">
        <is>
          <t>Tata Gold Exchange Traded Fund</t>
        </is>
      </c>
      <c r="D19" s="2" t="n"/>
      <c r="E19" s="2" t="n"/>
      <c r="F19" s="2" t="n"/>
    </row>
    <row r="20">
      <c r="A20" s="5" t="inlineStr">
        <is>
          <t>Tuesday</t>
        </is>
      </c>
      <c r="B20" s="16" t="n">
        <v>46084</v>
      </c>
      <c r="C20" s="5" t="inlineStr">
        <is>
          <t>Tata Silver Exchange Traded Fund</t>
        </is>
      </c>
      <c r="D20" s="5" t="n"/>
      <c r="E20" s="5" t="n"/>
      <c r="F20" s="5" t="n"/>
    </row>
    <row r="21">
      <c r="A21" s="2" t="inlineStr">
        <is>
          <t>Tuesday</t>
        </is>
      </c>
      <c r="B21" s="15" t="n">
        <v>46084</v>
      </c>
      <c r="C21" s="2" t="inlineStr">
        <is>
          <t>GOLDBEES</t>
        </is>
      </c>
      <c r="D21" s="2" t="n"/>
      <c r="E21" s="2" t="n"/>
      <c r="F21" s="2" t="n"/>
    </row>
    <row r="22">
      <c r="A22" s="5" t="inlineStr">
        <is>
          <t>Tuesday</t>
        </is>
      </c>
      <c r="B22" s="16" t="n">
        <v>46084</v>
      </c>
      <c r="C22" s="5" t="inlineStr">
        <is>
          <t>SILVERBEES</t>
        </is>
      </c>
      <c r="D22" s="5" t="n"/>
      <c r="E22" s="5" t="n"/>
      <c r="F22" s="5" t="n"/>
    </row>
    <row r="23">
      <c r="A23" s="2" t="inlineStr">
        <is>
          <t>Wednesday</t>
        </is>
      </c>
      <c r="B23" s="15" t="n">
        <v>46085</v>
      </c>
      <c r="C23" s="2" t="inlineStr">
        <is>
          <t>BPCL</t>
        </is>
      </c>
      <c r="D23" s="2" t="n"/>
      <c r="E23" s="2" t="n"/>
      <c r="F23" s="2" t="n"/>
    </row>
    <row r="24">
      <c r="A24" s="5" t="inlineStr">
        <is>
          <t>Wednesday</t>
        </is>
      </c>
      <c r="B24" s="16" t="n">
        <v>46085</v>
      </c>
      <c r="C24" s="5" t="inlineStr">
        <is>
          <t>ONGC</t>
        </is>
      </c>
      <c r="D24" s="5" t="n"/>
      <c r="E24" s="5" t="n"/>
      <c r="F24" s="5" t="n"/>
    </row>
    <row r="25">
      <c r="A25" s="2" t="inlineStr">
        <is>
          <t>Wednesday</t>
        </is>
      </c>
      <c r="B25" s="15" t="n">
        <v>46085</v>
      </c>
      <c r="C25" s="2" t="inlineStr">
        <is>
          <t>IOC</t>
        </is>
      </c>
      <c r="D25" s="2" t="n"/>
      <c r="E25" s="2" t="n"/>
      <c r="F25" s="2" t="n"/>
    </row>
    <row r="26">
      <c r="A26" s="5" t="inlineStr">
        <is>
          <t>Wednesday</t>
        </is>
      </c>
      <c r="B26" s="16" t="n">
        <v>46085</v>
      </c>
      <c r="C26" s="5" t="inlineStr">
        <is>
          <t>BEL</t>
        </is>
      </c>
      <c r="D26" s="5" t="n"/>
      <c r="E26" s="5" t="n"/>
      <c r="F26" s="5" t="n"/>
    </row>
    <row r="27">
      <c r="A27" s="2" t="inlineStr">
        <is>
          <t>Wednesday</t>
        </is>
      </c>
      <c r="B27" s="15" t="n">
        <v>46085</v>
      </c>
      <c r="C27" s="2" t="inlineStr">
        <is>
          <t>GMR Aiports</t>
        </is>
      </c>
      <c r="D27" s="2" t="n"/>
      <c r="E27" s="2" t="n"/>
      <c r="F27" s="2" t="n"/>
    </row>
    <row r="28">
      <c r="A28" s="5" t="inlineStr">
        <is>
          <t>Wednesday</t>
        </is>
      </c>
      <c r="B28" s="16" t="n">
        <v>46085</v>
      </c>
      <c r="C28" s="5" t="inlineStr">
        <is>
          <t>Suzlon Energy</t>
        </is>
      </c>
      <c r="D28" s="5" t="n"/>
      <c r="E28" s="5" t="n"/>
      <c r="F28" s="5" t="n"/>
    </row>
    <row r="29">
      <c r="A29" s="2" t="inlineStr">
        <is>
          <t>Wednesday</t>
        </is>
      </c>
      <c r="B29" s="15" t="n">
        <v>46085</v>
      </c>
      <c r="C29" s="2" t="inlineStr">
        <is>
          <t>Tata Gold Exchange Traded Fund</t>
        </is>
      </c>
      <c r="D29" s="2" t="n"/>
      <c r="E29" s="2" t="n"/>
      <c r="F29" s="2" t="n"/>
    </row>
    <row r="30">
      <c r="A30" s="5" t="inlineStr">
        <is>
          <t>Wednesday</t>
        </is>
      </c>
      <c r="B30" s="16" t="n">
        <v>46085</v>
      </c>
      <c r="C30" s="5" t="inlineStr">
        <is>
          <t>Tata Silver Exchange Traded Fund</t>
        </is>
      </c>
      <c r="D30" s="5" t="n"/>
      <c r="E30" s="5" t="n"/>
      <c r="F30" s="5" t="n"/>
    </row>
    <row r="31">
      <c r="A31" s="2" t="inlineStr">
        <is>
          <t>Wednesday</t>
        </is>
      </c>
      <c r="B31" s="15" t="n">
        <v>46085</v>
      </c>
      <c r="C31" s="2" t="inlineStr">
        <is>
          <t>GOLDBEES</t>
        </is>
      </c>
      <c r="D31" s="2" t="n"/>
      <c r="E31" s="2" t="n"/>
      <c r="F31" s="2" t="n"/>
    </row>
    <row r="32">
      <c r="A32" s="5" t="inlineStr">
        <is>
          <t>Wednesday</t>
        </is>
      </c>
      <c r="B32" s="16" t="n">
        <v>46085</v>
      </c>
      <c r="C32" s="5" t="inlineStr">
        <is>
          <t>SILVERBEES</t>
        </is>
      </c>
      <c r="D32" s="5" t="n"/>
      <c r="E32" s="5" t="n"/>
      <c r="F32" s="5" t="n"/>
    </row>
    <row r="33">
      <c r="A33" s="2" t="inlineStr">
        <is>
          <t>Thursday</t>
        </is>
      </c>
      <c r="B33" s="15" t="n">
        <v>46086</v>
      </c>
      <c r="C33" s="2" t="inlineStr">
        <is>
          <t>BPCL</t>
        </is>
      </c>
      <c r="D33" s="2" t="n"/>
      <c r="E33" s="2" t="n"/>
      <c r="F33" s="2" t="n"/>
    </row>
    <row r="34">
      <c r="A34" s="5" t="inlineStr">
        <is>
          <t>Thursday</t>
        </is>
      </c>
      <c r="B34" s="16" t="n">
        <v>46086</v>
      </c>
      <c r="C34" s="5" t="inlineStr">
        <is>
          <t>ONGC</t>
        </is>
      </c>
      <c r="D34" s="5" t="n"/>
      <c r="E34" s="5" t="n"/>
      <c r="F34" s="5" t="n"/>
    </row>
    <row r="35">
      <c r="A35" s="2" t="inlineStr">
        <is>
          <t>Thursday</t>
        </is>
      </c>
      <c r="B35" s="15" t="n">
        <v>46086</v>
      </c>
      <c r="C35" s="2" t="inlineStr">
        <is>
          <t>IOC</t>
        </is>
      </c>
      <c r="D35" s="2" t="n"/>
      <c r="E35" s="2" t="n"/>
      <c r="F35" s="2" t="n"/>
    </row>
    <row r="36">
      <c r="A36" s="5" t="inlineStr">
        <is>
          <t>Thursday</t>
        </is>
      </c>
      <c r="B36" s="16" t="n">
        <v>46086</v>
      </c>
      <c r="C36" s="5" t="inlineStr">
        <is>
          <t>BEL</t>
        </is>
      </c>
      <c r="D36" s="5" t="n"/>
      <c r="E36" s="5" t="n"/>
      <c r="F36" s="5" t="n"/>
    </row>
    <row r="37">
      <c r="A37" s="2" t="inlineStr">
        <is>
          <t>Thursday</t>
        </is>
      </c>
      <c r="B37" s="15" t="n">
        <v>46086</v>
      </c>
      <c r="C37" s="2" t="inlineStr">
        <is>
          <t>GMR Aiports</t>
        </is>
      </c>
      <c r="D37" s="2" t="n"/>
      <c r="E37" s="2" t="n"/>
      <c r="F37" s="2" t="n"/>
    </row>
    <row r="38">
      <c r="A38" s="5" t="inlineStr">
        <is>
          <t>Thursday</t>
        </is>
      </c>
      <c r="B38" s="16" t="n">
        <v>46086</v>
      </c>
      <c r="C38" s="5" t="inlineStr">
        <is>
          <t>Suzlon Energy</t>
        </is>
      </c>
      <c r="D38" s="5" t="n"/>
      <c r="E38" s="5" t="n"/>
      <c r="F38" s="5" t="n"/>
    </row>
    <row r="39">
      <c r="A39" s="2" t="inlineStr">
        <is>
          <t>Thursday</t>
        </is>
      </c>
      <c r="B39" s="15" t="n">
        <v>46086</v>
      </c>
      <c r="C39" s="2" t="inlineStr">
        <is>
          <t>Tata Gold Exchange Traded Fund</t>
        </is>
      </c>
      <c r="D39" s="2" t="n"/>
      <c r="E39" s="2" t="n"/>
      <c r="F39" s="2" t="n"/>
    </row>
    <row r="40">
      <c r="A40" s="5" t="inlineStr">
        <is>
          <t>Thursday</t>
        </is>
      </c>
      <c r="B40" s="16" t="n">
        <v>46086</v>
      </c>
      <c r="C40" s="5" t="inlineStr">
        <is>
          <t>Tata Silver Exchange Traded Fund</t>
        </is>
      </c>
      <c r="D40" s="5" t="n"/>
      <c r="E40" s="5" t="n"/>
      <c r="F40" s="5" t="n"/>
    </row>
    <row r="41">
      <c r="A41" s="2" t="inlineStr">
        <is>
          <t>Thursday</t>
        </is>
      </c>
      <c r="B41" s="15" t="n">
        <v>46086</v>
      </c>
      <c r="C41" s="2" t="inlineStr">
        <is>
          <t>GOLDBEES</t>
        </is>
      </c>
      <c r="D41" s="2" t="n"/>
      <c r="E41" s="2" t="n"/>
      <c r="F41" s="2" t="n"/>
    </row>
    <row r="42">
      <c r="A42" s="5" t="inlineStr">
        <is>
          <t>Thursday</t>
        </is>
      </c>
      <c r="B42" s="16" t="n">
        <v>46086</v>
      </c>
      <c r="C42" s="5" t="inlineStr">
        <is>
          <t>SILVERBEES</t>
        </is>
      </c>
      <c r="D42" s="5" t="n"/>
      <c r="E42" s="5" t="n"/>
      <c r="F42" s="5" t="n"/>
    </row>
    <row r="43">
      <c r="A43" s="2" t="inlineStr">
        <is>
          <t>Friday</t>
        </is>
      </c>
      <c r="B43" s="15" t="n">
        <v>46087</v>
      </c>
      <c r="C43" s="2" t="inlineStr">
        <is>
          <t>BPCL</t>
        </is>
      </c>
      <c r="D43" s="2" t="n"/>
      <c r="E43" s="2" t="n"/>
      <c r="F43" s="2" t="n"/>
    </row>
    <row r="44">
      <c r="A44" s="5" t="inlineStr">
        <is>
          <t>Friday</t>
        </is>
      </c>
      <c r="B44" s="16" t="n">
        <v>46087</v>
      </c>
      <c r="C44" s="5" t="inlineStr">
        <is>
          <t>ONGC</t>
        </is>
      </c>
      <c r="D44" s="5" t="n"/>
      <c r="E44" s="5" t="n"/>
      <c r="F44" s="5" t="n"/>
    </row>
    <row r="45">
      <c r="A45" s="2" t="inlineStr">
        <is>
          <t>Friday</t>
        </is>
      </c>
      <c r="B45" s="15" t="n">
        <v>46087</v>
      </c>
      <c r="C45" s="2" t="inlineStr">
        <is>
          <t>IOC</t>
        </is>
      </c>
      <c r="D45" s="2" t="n"/>
      <c r="E45" s="2" t="n"/>
      <c r="F45" s="2" t="n"/>
    </row>
    <row r="46">
      <c r="A46" s="5" t="inlineStr">
        <is>
          <t>Friday</t>
        </is>
      </c>
      <c r="B46" s="16" t="n">
        <v>46087</v>
      </c>
      <c r="C46" s="5" t="inlineStr">
        <is>
          <t>BEL</t>
        </is>
      </c>
      <c r="D46" s="5" t="n"/>
      <c r="E46" s="5" t="n"/>
      <c r="F46" s="5" t="n"/>
    </row>
    <row r="47">
      <c r="A47" s="2" t="inlineStr">
        <is>
          <t>Friday</t>
        </is>
      </c>
      <c r="B47" s="15" t="n">
        <v>46087</v>
      </c>
      <c r="C47" s="2" t="inlineStr">
        <is>
          <t>GMR Aiports</t>
        </is>
      </c>
      <c r="D47" s="2" t="n"/>
      <c r="E47" s="2" t="n"/>
      <c r="F47" s="2" t="n"/>
    </row>
    <row r="48">
      <c r="A48" s="5" t="inlineStr">
        <is>
          <t>Friday</t>
        </is>
      </c>
      <c r="B48" s="16" t="n">
        <v>46087</v>
      </c>
      <c r="C48" s="5" t="inlineStr">
        <is>
          <t>Suzlon Energy</t>
        </is>
      </c>
      <c r="D48" s="5" t="n"/>
      <c r="E48" s="5" t="n"/>
      <c r="F48" s="5" t="n"/>
    </row>
    <row r="49">
      <c r="A49" s="2" t="inlineStr">
        <is>
          <t>Friday</t>
        </is>
      </c>
      <c r="B49" s="15" t="n">
        <v>46087</v>
      </c>
      <c r="C49" s="2" t="inlineStr">
        <is>
          <t>Tata Gold Exchange Traded Fund</t>
        </is>
      </c>
      <c r="D49" s="2" t="n"/>
      <c r="E49" s="2" t="n"/>
      <c r="F49" s="2" t="n"/>
    </row>
    <row r="50">
      <c r="A50" s="5" t="inlineStr">
        <is>
          <t>Friday</t>
        </is>
      </c>
      <c r="B50" s="16" t="n">
        <v>46087</v>
      </c>
      <c r="C50" s="5" t="inlineStr">
        <is>
          <t>Tata Silver Exchange Traded Fund</t>
        </is>
      </c>
      <c r="D50" s="5" t="n"/>
      <c r="E50" s="5" t="n"/>
      <c r="F50" s="5" t="n"/>
    </row>
    <row r="51">
      <c r="A51" s="2" t="inlineStr">
        <is>
          <t>Friday</t>
        </is>
      </c>
      <c r="B51" s="15" t="n">
        <v>46087</v>
      </c>
      <c r="C51" s="2" t="inlineStr">
        <is>
          <t>GOLDBEES</t>
        </is>
      </c>
      <c r="D51" s="2" t="n"/>
      <c r="E51" s="2" t="n"/>
      <c r="F51" s="2" t="n"/>
    </row>
    <row r="52">
      <c r="A52" s="5" t="inlineStr">
        <is>
          <t>Friday</t>
        </is>
      </c>
      <c r="B52" s="16" t="n">
        <v>46087</v>
      </c>
      <c r="C52" s="5" t="inlineStr">
        <is>
          <t>SILVERBEES</t>
        </is>
      </c>
      <c r="D52" s="5" t="n"/>
      <c r="E52" s="5" t="n"/>
      <c r="F52" s="5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85149"/>
    <outlinePr summaryBelow="1" summaryRight="1"/>
    <pageSetUpPr/>
  </sheetPr>
  <dimension ref="A1:C15"/>
  <sheetViews>
    <sheetView workbookViewId="0">
      <selection activeCell="B15" sqref="B15"/>
    </sheetView>
  </sheetViews>
  <sheetFormatPr baseColWidth="8" defaultRowHeight="14.4"/>
  <cols>
    <col width="35" customWidth="1" style="78" min="1" max="1"/>
    <col width="22" customWidth="1" style="78" min="2" max="2"/>
    <col width="18" customWidth="1" style="78" min="3" max="3"/>
  </cols>
  <sheetData>
    <row r="1" ht="28.05" customHeight="1" s="78">
      <c r="A1" s="82" t="inlineStr">
        <is>
          <t>📊  PORTFOLIO_SUMMARY — Institutional Risk KPIs</t>
        </is>
      </c>
    </row>
    <row r="2">
      <c r="A2" s="1" t="inlineStr">
        <is>
          <t>Metric</t>
        </is>
      </c>
      <c r="B2" s="1" t="inlineStr">
        <is>
          <t>Value</t>
        </is>
      </c>
      <c r="C2" s="1" t="inlineStr">
        <is>
          <t>Status</t>
        </is>
      </c>
    </row>
    <row r="3">
      <c r="A3" s="17" t="inlineStr">
        <is>
          <t>Total Capital</t>
        </is>
      </c>
      <c r="B3" s="18" t="n">
        <v>100000</v>
      </c>
      <c r="C3" s="2" t="inlineStr">
        <is>
          <t>—</t>
        </is>
      </c>
    </row>
    <row r="4">
      <c r="A4" s="19" t="inlineStr">
        <is>
          <t>Total Invested ₹</t>
        </is>
      </c>
      <c r="B4" s="20" t="n">
        <v>97857.05</v>
      </c>
      <c r="C4" s="5" t="inlineStr">
        <is>
          <t>—</t>
        </is>
      </c>
    </row>
    <row r="5">
      <c r="A5" s="17" t="inlineStr">
        <is>
          <t>Total Current Value ₹</t>
        </is>
      </c>
      <c r="B5" s="18" t="n">
        <v>98343.31</v>
      </c>
      <c r="C5" s="2" t="inlineStr">
        <is>
          <t>—</t>
        </is>
      </c>
    </row>
    <row r="6">
      <c r="A6" s="19" t="inlineStr">
        <is>
          <t>Total P&amp;L ₹</t>
        </is>
      </c>
      <c r="B6" s="21" t="n">
        <v>486.26</v>
      </c>
      <c r="C6" s="5" t="inlineStr">
        <is>
          <t>—</t>
        </is>
      </c>
    </row>
    <row r="7">
      <c r="A7" s="17" t="inlineStr">
        <is>
          <t>Total P&amp;L %</t>
        </is>
      </c>
      <c r="B7" s="22" t="n">
        <v>0.4969</v>
      </c>
      <c r="C7" s="23" t="inlineStr">
        <is>
          <t>✅ Profit</t>
        </is>
      </c>
    </row>
    <row r="8">
      <c r="A8" s="19" t="inlineStr">
        <is>
          <t>Total Risk if All SL Hit ₹</t>
        </is>
      </c>
      <c r="B8" s="20" t="n">
        <v>4892.85</v>
      </c>
      <c r="C8" s="5" t="inlineStr">
        <is>
          <t>—</t>
        </is>
      </c>
    </row>
    <row r="9">
      <c r="A9" s="17" t="inlineStr">
        <is>
          <t>Capital After Worst SL ₹</t>
        </is>
      </c>
      <c r="B9" s="18" t="n">
        <v>92964.2</v>
      </c>
      <c r="C9" s="2" t="inlineStr">
        <is>
          <t>—</t>
        </is>
      </c>
    </row>
    <row r="10">
      <c r="A10" s="19" t="inlineStr">
        <is>
          <t>Portfolio Drawdown %</t>
        </is>
      </c>
      <c r="B10" s="24" t="n">
        <v>5</v>
      </c>
      <c r="C10" s="25" t="inlineStr">
        <is>
          <t>⚠ Warning</t>
        </is>
      </c>
    </row>
    <row r="11">
      <c r="A11" s="17" t="inlineStr">
        <is>
          <t>Portfolio Heat %</t>
        </is>
      </c>
      <c r="B11" s="26" t="n">
        <v>5</v>
      </c>
      <c r="C11" s="27" t="inlineStr">
        <is>
          <t>⚠ Warning</t>
        </is>
      </c>
    </row>
    <row r="12">
      <c r="A12" s="19" t="inlineStr">
        <is>
          <t>4% Warning Trigger</t>
        </is>
      </c>
      <c r="B12" s="28" t="inlineStr">
        <is>
          <t>⚠ Warning</t>
        </is>
      </c>
      <c r="C12" s="25" t="inlineStr">
        <is>
          <t>⚠ Warning</t>
        </is>
      </c>
    </row>
    <row r="13">
      <c r="A13" s="17" t="inlineStr">
        <is>
          <t>6% Hard Stop</t>
        </is>
      </c>
      <c r="B13" s="29" t="inlineStr">
        <is>
          <t>Within Limit</t>
        </is>
      </c>
      <c r="C13" s="2" t="inlineStr">
        <is>
          <t>Within Limit</t>
        </is>
      </c>
    </row>
    <row r="14">
      <c r="A14" s="19" t="inlineStr">
        <is>
          <t>Active Stocks</t>
        </is>
      </c>
      <c r="B14" s="28" t="n">
        <v>10</v>
      </c>
      <c r="C14" s="5" t="inlineStr">
        <is>
          <t>—</t>
        </is>
      </c>
    </row>
    <row r="15">
      <c r="A15" s="17" t="inlineStr">
        <is>
          <t>Cash Reserve ₹</t>
        </is>
      </c>
      <c r="B15" s="29" t="n">
        <v>2142.95</v>
      </c>
      <c r="C15" s="2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3B341"/>
    <outlinePr summaryBelow="1" summaryRight="1"/>
    <pageSetUpPr/>
  </sheetPr>
  <dimension ref="A1:G12"/>
  <sheetViews>
    <sheetView topLeftCell="A59" zoomScale="95" zoomScaleNormal="49" workbookViewId="0">
      <selection activeCell="B7" sqref="B7"/>
    </sheetView>
  </sheetViews>
  <sheetFormatPr baseColWidth="8" defaultRowHeight="14.4"/>
  <cols>
    <col width="30" customWidth="1" style="78" min="1" max="1"/>
    <col width="12" customWidth="1" style="78" min="2" max="7"/>
  </cols>
  <sheetData>
    <row r="1" ht="28.05" customHeight="1" s="78">
      <c r="A1" s="80" t="inlineStr">
        <is>
          <t>📉  STOCK_VISUALIZATION_DATA — Chart Source Table</t>
        </is>
      </c>
    </row>
    <row r="2">
      <c r="A2" s="1" t="inlineStr">
        <is>
          <t>Stock</t>
        </is>
      </c>
      <c r="B2" s="1" t="inlineStr">
        <is>
          <t>Entry</t>
        </is>
      </c>
      <c r="C2" s="1" t="inlineStr">
        <is>
          <t>Current</t>
        </is>
      </c>
      <c r="D2" s="1" t="inlineStr">
        <is>
          <t>Stop Loss</t>
        </is>
      </c>
      <c r="E2" s="1" t="inlineStr">
        <is>
          <t>Target 1</t>
        </is>
      </c>
      <c r="F2" s="1" t="inlineStr">
        <is>
          <t>Target 2</t>
        </is>
      </c>
      <c r="G2" s="1" t="inlineStr">
        <is>
          <t>Target 3</t>
        </is>
      </c>
    </row>
    <row r="3">
      <c r="A3" s="30" t="inlineStr">
        <is>
          <t>BPCL</t>
        </is>
      </c>
      <c r="B3" s="3" t="n">
        <v>372.45</v>
      </c>
      <c r="C3" s="3" t="n">
        <v>370</v>
      </c>
      <c r="D3" s="3" t="n">
        <v>353.8275</v>
      </c>
      <c r="E3" s="3" t="n">
        <v>394.797</v>
      </c>
      <c r="F3" s="3" t="n">
        <v>409.695</v>
      </c>
      <c r="G3" s="3" t="n">
        <v>428.3174999999999</v>
      </c>
    </row>
    <row r="4">
      <c r="A4" s="31" t="inlineStr">
        <is>
          <t>ONGC</t>
        </is>
      </c>
      <c r="B4" s="6" t="n">
        <v>279.35</v>
      </c>
      <c r="C4" s="6" t="n">
        <v>281.75</v>
      </c>
      <c r="D4" s="6" t="n">
        <v>265.3825</v>
      </c>
      <c r="E4" s="6" t="n">
        <v>296.111</v>
      </c>
      <c r="F4" s="6" t="n">
        <v>307.285</v>
      </c>
      <c r="G4" s="6" t="n">
        <v>321.2525</v>
      </c>
    </row>
    <row r="5">
      <c r="A5" s="30" t="inlineStr">
        <is>
          <t>IOC</t>
        </is>
      </c>
      <c r="B5" s="3" t="n">
        <v>179.8</v>
      </c>
      <c r="C5" s="3" t="n">
        <v>177.17</v>
      </c>
      <c r="D5" s="3" t="n">
        <v>170.81</v>
      </c>
      <c r="E5" s="3" t="n">
        <v>190.588</v>
      </c>
      <c r="F5" s="3" t="n">
        <v>197.78</v>
      </c>
      <c r="G5" s="3" t="n">
        <v>206.77</v>
      </c>
    </row>
    <row r="6">
      <c r="A6" s="31" t="inlineStr">
        <is>
          <t>BEL</t>
        </is>
      </c>
      <c r="B6" s="6" t="n">
        <v>450.8</v>
      </c>
      <c r="C6" s="6" t="n">
        <v>448.8</v>
      </c>
      <c r="D6" s="6" t="n">
        <v>428.26</v>
      </c>
      <c r="E6" s="6" t="n">
        <v>477.848</v>
      </c>
      <c r="F6" s="6" t="n">
        <v>495.8800000000001</v>
      </c>
      <c r="G6" s="6" t="n">
        <v>518.42</v>
      </c>
    </row>
    <row r="7">
      <c r="A7" s="30" t="inlineStr">
        <is>
          <t>GMR Aiports</t>
        </is>
      </c>
      <c r="B7" s="3" t="n">
        <v>105.22</v>
      </c>
      <c r="C7" s="3" t="n">
        <v>95.09999999999999</v>
      </c>
      <c r="D7" s="3" t="n">
        <v>99.95899999999999</v>
      </c>
      <c r="E7" s="3" t="n">
        <v>111.5332</v>
      </c>
      <c r="F7" s="3" t="n">
        <v>115.742</v>
      </c>
      <c r="G7" s="3" t="n">
        <v>121.003</v>
      </c>
    </row>
    <row r="8">
      <c r="A8" s="31" t="inlineStr">
        <is>
          <t>Suzlon Energy</t>
        </is>
      </c>
      <c r="B8" s="6" t="n">
        <v>40.054</v>
      </c>
      <c r="C8" s="6" t="n">
        <v>40.22</v>
      </c>
      <c r="D8" s="6" t="n">
        <v>38.0513</v>
      </c>
      <c r="E8" s="6" t="n">
        <v>42.45724000000001</v>
      </c>
      <c r="F8" s="6" t="n">
        <v>44.0594</v>
      </c>
      <c r="G8" s="6" t="n">
        <v>46.0621</v>
      </c>
    </row>
    <row r="9">
      <c r="A9" s="30" t="inlineStr">
        <is>
          <t>Tata Gold Exchange Traded Fund</t>
        </is>
      </c>
      <c r="B9" s="3" t="n">
        <v>16.03</v>
      </c>
      <c r="C9" s="3" t="n">
        <v>16.21</v>
      </c>
      <c r="D9" s="3" t="n">
        <v>15.2285</v>
      </c>
      <c r="E9" s="3" t="n">
        <v>16.9918</v>
      </c>
      <c r="F9" s="3" t="n">
        <v>17.633</v>
      </c>
      <c r="G9" s="3" t="n">
        <v>18.4345</v>
      </c>
    </row>
    <row r="10">
      <c r="A10" s="31" t="inlineStr">
        <is>
          <t>Tata Silver Exchange Traded Fund</t>
        </is>
      </c>
      <c r="B10" s="6" t="n">
        <v>27.35</v>
      </c>
      <c r="C10" s="6" t="n">
        <v>27.84</v>
      </c>
      <c r="D10" s="6" t="n">
        <v>25.9825</v>
      </c>
      <c r="E10" s="6" t="n">
        <v>28.991</v>
      </c>
      <c r="F10" s="6" t="n">
        <v>30.085</v>
      </c>
      <c r="G10" s="6" t="n">
        <v>31.4525</v>
      </c>
    </row>
    <row r="11">
      <c r="A11" s="30" t="inlineStr">
        <is>
          <t>GOLDBEES</t>
        </is>
      </c>
      <c r="B11" s="3" t="n">
        <v>132</v>
      </c>
      <c r="C11" s="3" t="n">
        <v>138.54</v>
      </c>
      <c r="D11" s="3" t="n">
        <v>125.4</v>
      </c>
      <c r="E11" s="3" t="n">
        <v>139.92</v>
      </c>
      <c r="F11" s="3" t="n">
        <v>145.2</v>
      </c>
      <c r="G11" s="3" t="n">
        <v>151.8</v>
      </c>
    </row>
    <row r="12">
      <c r="A12" s="31" t="inlineStr">
        <is>
          <t>SILVERBEES</t>
        </is>
      </c>
      <c r="B12" s="6" t="n">
        <v>253</v>
      </c>
      <c r="C12" s="6" t="n">
        <v>273.71</v>
      </c>
      <c r="D12" s="6" t="n">
        <v>240.35</v>
      </c>
      <c r="E12" s="6" t="n">
        <v>268.18</v>
      </c>
      <c r="F12" s="6" t="n">
        <v>278.3</v>
      </c>
      <c r="G12" s="6" t="n">
        <v>290.95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BC8CFF"/>
    <outlinePr summaryBelow="1" summaryRight="1"/>
    <pageSetUpPr/>
  </sheetPr>
  <dimension ref="A1:C14"/>
  <sheetViews>
    <sheetView workbookViewId="0">
      <selection activeCell="F7" sqref="F7"/>
    </sheetView>
  </sheetViews>
  <sheetFormatPr baseColWidth="8" defaultRowHeight="14.4"/>
  <cols>
    <col width="6" customWidth="1" style="78" min="1" max="1"/>
    <col width="30" customWidth="1" style="78" min="2" max="2"/>
    <col width="79.5546875" customWidth="1" style="78" min="3" max="3"/>
  </cols>
  <sheetData>
    <row r="1" ht="28.05" customHeight="1" s="78">
      <c r="A1" s="79" t="inlineStr">
        <is>
          <t>🔗  POWER BI IMPORT GUIDE</t>
        </is>
      </c>
    </row>
    <row r="2">
      <c r="A2" s="1" t="inlineStr">
        <is>
          <t>STEP</t>
        </is>
      </c>
      <c r="B2" s="32" t="inlineStr">
        <is>
          <t>Action</t>
        </is>
      </c>
      <c r="C2" s="32" t="inlineStr">
        <is>
          <t>Details</t>
        </is>
      </c>
    </row>
    <row r="3">
      <c r="A3" s="2" t="inlineStr">
        <is>
          <t>1</t>
        </is>
      </c>
      <c r="B3" s="9" t="inlineStr">
        <is>
          <t>Open Power BI Desktop</t>
        </is>
      </c>
      <c r="C3" s="9" t="inlineStr">
        <is>
          <t>File → New</t>
        </is>
      </c>
    </row>
    <row r="4">
      <c r="A4" s="5" t="inlineStr">
        <is>
          <t>2</t>
        </is>
      </c>
      <c r="B4" s="10" t="inlineStr">
        <is>
          <t>Get Data → Excel</t>
        </is>
      </c>
      <c r="C4" s="10" t="inlineStr">
        <is>
          <t>Select Tactical_Model_INSTITUTIONAL.xlsx</t>
        </is>
      </c>
    </row>
    <row r="5">
      <c r="A5" s="2" t="inlineStr">
        <is>
          <t>3</t>
        </is>
      </c>
      <c r="B5" s="9" t="inlineStr">
        <is>
          <t>Select Tables</t>
        </is>
      </c>
      <c r="C5" s="9" t="inlineStr">
        <is>
          <t>Fact_Portfolio, Fact_Prices, Dim_Stock, Dim_Scenario</t>
        </is>
      </c>
    </row>
    <row r="6">
      <c r="A6" s="5" t="inlineStr">
        <is>
          <t>4</t>
        </is>
      </c>
      <c r="B6" s="10" t="inlineStr">
        <is>
          <t>Or import CSVs</t>
        </is>
      </c>
      <c r="C6" s="10" t="inlineStr">
        <is>
          <t>Fact_Portfolio.csv, Fact_Prices.csv, Dim_Stock.csv, Dim_Scenario.csv</t>
        </is>
      </c>
    </row>
    <row r="7">
      <c r="A7" s="2" t="inlineStr">
        <is>
          <t>5</t>
        </is>
      </c>
      <c r="B7" s="9" t="inlineStr">
        <is>
          <t>Set Relationships</t>
        </is>
      </c>
      <c r="C7" s="9" t="inlineStr">
        <is>
          <t>Fact_Portfolio[Stock] → Dim_Stock[Stock Name] (Many:One)</t>
        </is>
      </c>
    </row>
    <row r="8">
      <c r="A8" s="5" t="inlineStr">
        <is>
          <t>6</t>
        </is>
      </c>
      <c r="B8" s="10" t="inlineStr">
        <is>
          <t>Add Relationship</t>
        </is>
      </c>
      <c r="C8" s="10" t="inlineStr">
        <is>
          <t>Fact_Prices[Stock] → Dim_Stock[Stock Name] (Many:One)</t>
        </is>
      </c>
    </row>
    <row r="9">
      <c r="A9" s="2" t="inlineStr">
        <is>
          <t>7</t>
        </is>
      </c>
      <c r="B9" s="9" t="inlineStr">
        <is>
          <t>Create KPI Card DAX</t>
        </is>
      </c>
      <c r="C9" s="9" t="inlineStr">
        <is>
          <t>Total P&amp;L = SUM(Fact_Portfolio[P&amp;L ₹])</t>
        </is>
      </c>
    </row>
    <row r="10">
      <c r="A10" s="5" t="inlineStr">
        <is>
          <t>8</t>
        </is>
      </c>
      <c r="B10" s="10" t="inlineStr">
        <is>
          <t>Create P&amp;L% DAX</t>
        </is>
      </c>
      <c r="C10" s="10" t="inlineStr">
        <is>
          <t>P&amp;L % = DIVIDE([Total P&amp;L], SUM(Fact_Portfolio[Investment Value]))</t>
        </is>
      </c>
    </row>
    <row r="11">
      <c r="A11" s="2" t="inlineStr">
        <is>
          <t>9</t>
        </is>
      </c>
      <c r="B11" s="9" t="inlineStr">
        <is>
          <t>Portfolio Heat DAX</t>
        </is>
      </c>
      <c r="C11" s="9" t="inlineStr">
        <is>
          <t>Heat % = DIVIDE(SUM(Fact_Portfolio[Risk Amount ₹]), SUM(Fact_Portfolio[Investment Value]))</t>
        </is>
      </c>
    </row>
    <row r="12">
      <c r="A12" s="5" t="inlineStr">
        <is>
          <t>10</t>
        </is>
      </c>
      <c r="B12" s="10" t="inlineStr">
        <is>
          <t>Build Visuals</t>
        </is>
      </c>
      <c r="C12" s="10" t="inlineStr">
        <is>
          <t>KPI Cards → Donut → Bar Chart → Table → Gauge</t>
        </is>
      </c>
    </row>
    <row r="13">
      <c r="A13" s="2" t="inlineStr">
        <is>
          <t>11</t>
        </is>
      </c>
      <c r="B13" s="9" t="inlineStr">
        <is>
          <t>Add Slicers</t>
        </is>
      </c>
      <c r="C13" s="9" t="inlineStr">
        <is>
          <t>Slice by Sector, Scenario, Action, Risk Level</t>
        </is>
      </c>
    </row>
    <row r="14">
      <c r="A14" s="5" t="inlineStr">
        <is>
          <t>12</t>
        </is>
      </c>
      <c r="B14" s="10" t="inlineStr">
        <is>
          <t>Apply Dark Theme</t>
        </is>
      </c>
      <c r="C14" s="10" t="inlineStr">
        <is>
          <t>View → Themes → Dark (or import custom)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2026-03-02T11:50:04Z</dcterms:created>
  <dcterms:modified xsi:type="dcterms:W3CDTF">2026-03-04T05:47:08Z</dcterms:modified>
  <cp:lastModifiedBy>HP</cp:lastModifiedBy>
</cp:coreProperties>
</file>