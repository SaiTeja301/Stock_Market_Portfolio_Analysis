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tock Market\Analysis\Prompts\MAR_WEEK_1 Plan\"/>
    </mc:Choice>
  </mc:AlternateContent>
  <bookViews>
    <workbookView xWindow="0" yWindow="0" windowWidth="23040" windowHeight="7344"/>
  </bookViews>
  <sheets>
    <sheet name="Fact_Portfolio" sheetId="1" r:id="rId1"/>
    <sheet name="Dim_Stock" sheetId="2" r:id="rId2"/>
    <sheet name="Dim_Scenario" sheetId="3" r:id="rId3"/>
    <sheet name="Fact_Prices" sheetId="4" r:id="rId4"/>
    <sheet name="Portfolio_Summary" sheetId="5" r:id="rId5"/>
    <sheet name="Stock_Visualization_Data" sheetId="6" r:id="rId6"/>
    <sheet name="PowerBI_Guide" sheetId="7" r:id="rId7"/>
  </sheets>
  <definedNames>
    <definedName name="_xlnm._FilterDatabase" localSheetId="0" hidden="1">Fact_Portfolio!$A$2:$Z$2</definedName>
  </definedNames>
  <calcPr calcId="0"/>
</workbook>
</file>

<file path=xl/sharedStrings.xml><?xml version="1.0" encoding="utf-8"?>
<sst xmlns="http://schemas.openxmlformats.org/spreadsheetml/2006/main" count="371" uniqueCount="155">
  <si>
    <t>📋  FACT_PORTFOLIO — Institutional Trading Data Layer</t>
  </si>
  <si>
    <t>Stock</t>
  </si>
  <si>
    <t>Sector</t>
  </si>
  <si>
    <t>Sub-Sector</t>
  </si>
  <si>
    <t>Allocation ₹</t>
  </si>
  <si>
    <t>Entry Price</t>
  </si>
  <si>
    <t>Quantity</t>
  </si>
  <si>
    <t>Target 1</t>
  </si>
  <si>
    <t>Target 2</t>
  </si>
  <si>
    <t>Target 3</t>
  </si>
  <si>
    <t>Stop Loss</t>
  </si>
  <si>
    <t>Risk Level</t>
  </si>
  <si>
    <t>Investment Value</t>
  </si>
  <si>
    <t>Current Price</t>
  </si>
  <si>
    <t>Current Value</t>
  </si>
  <si>
    <t>P&amp;L ₹</t>
  </si>
  <si>
    <t>P&amp;L %</t>
  </si>
  <si>
    <t>Risk Amount ₹</t>
  </si>
  <si>
    <t>Stop Loss Exit Value ₹</t>
  </si>
  <si>
    <t>Dist to SL %</t>
  </si>
  <si>
    <t>Dist to T1 %</t>
  </si>
  <si>
    <t>Reward:Risk Ratio</t>
  </si>
  <si>
    <t>Expected Value ₹</t>
  </si>
  <si>
    <t>Action</t>
  </si>
  <si>
    <t>Strategic Role</t>
  </si>
  <si>
    <t>Volatility</t>
  </si>
  <si>
    <t>Date</t>
  </si>
  <si>
    <t>BEL</t>
  </si>
  <si>
    <t>Defence</t>
  </si>
  <si>
    <t>Electronics</t>
  </si>
  <si>
    <t>Medium-High</t>
  </si>
  <si>
    <t>Hold</t>
  </si>
  <si>
    <t>Core Hold</t>
  </si>
  <si>
    <t>2026-03-02</t>
  </si>
  <si>
    <t>BPCL</t>
  </si>
  <si>
    <t>Oil &amp; Gas</t>
  </si>
  <si>
    <t>Downstream OMC</t>
  </si>
  <si>
    <t>Medium</t>
  </si>
  <si>
    <t>Tactical Swing</t>
  </si>
  <si>
    <t>GMR Aiports</t>
  </si>
  <si>
    <t>Infra</t>
  </si>
  <si>
    <t>Aviation Infra</t>
  </si>
  <si>
    <t>EXIT NOW</t>
  </si>
  <si>
    <t>Opportunistic</t>
  </si>
  <si>
    <t>GOLDBEES</t>
  </si>
  <si>
    <t>ETF</t>
  </si>
  <si>
    <t>Gold ETF</t>
  </si>
  <si>
    <t>Low</t>
  </si>
  <si>
    <t>Hedge</t>
  </si>
  <si>
    <t>IOC</t>
  </si>
  <si>
    <t>ONGC</t>
  </si>
  <si>
    <t>Upstream E&amp;P</t>
  </si>
  <si>
    <t>PMC Fincorp</t>
  </si>
  <si>
    <t>Fincorp</t>
  </si>
  <si>
    <t>SILVERBEES</t>
  </si>
  <si>
    <t>Silver ETF</t>
  </si>
  <si>
    <t>Suzlon Energy</t>
  </si>
  <si>
    <t>Energy</t>
  </si>
  <si>
    <t>Renewable Wind</t>
  </si>
  <si>
    <t>Reduce 30%</t>
  </si>
  <si>
    <t>Speculative</t>
  </si>
  <si>
    <t>Tata Gold Exchange Traded Fund</t>
  </si>
  <si>
    <t>Tata Silver Exchange Traded Fund</t>
  </si>
  <si>
    <t>Trident</t>
  </si>
  <si>
    <t>Textail</t>
  </si>
  <si>
    <t>📂  DIM_STOCK — Stock Master Dimension</t>
  </si>
  <si>
    <t>Stock Name</t>
  </si>
  <si>
    <t>Volatility Level</t>
  </si>
  <si>
    <t>Oil Sensitive?</t>
  </si>
  <si>
    <t>Yes</t>
  </si>
  <si>
    <t>No</t>
  </si>
  <si>
    <t>Partial</t>
  </si>
  <si>
    <t>Tata Silver Exchange Traded Fu</t>
  </si>
  <si>
    <t>🎯  DIM_SCENARIO — Market Scenario Simulation</t>
  </si>
  <si>
    <t>Scenario</t>
  </si>
  <si>
    <t>Oil Change %</t>
  </si>
  <si>
    <t>Gold Change %</t>
  </si>
  <si>
    <t>Nifty Change %</t>
  </si>
  <si>
    <t>Projected Portfolio Value ₹</t>
  </si>
  <si>
    <t>Probability %</t>
  </si>
  <si>
    <t>Bullish</t>
  </si>
  <si>
    <t>Neutral</t>
  </si>
  <si>
    <t>Bearish</t>
  </si>
  <si>
    <t>📈  FACT_PRICES — Daily Price Time Series</t>
  </si>
  <si>
    <t>Day</t>
  </si>
  <si>
    <t>Daily Change %</t>
  </si>
  <si>
    <t>Notes</t>
  </si>
  <si>
    <t>Monday</t>
  </si>
  <si>
    <t>Tuesday</t>
  </si>
  <si>
    <t>Wednesday</t>
  </si>
  <si>
    <t>Thursday</t>
  </si>
  <si>
    <t>Friday</t>
  </si>
  <si>
    <t>📊  PORTFOLIO_SUMMARY — Institutional Risk KPIs</t>
  </si>
  <si>
    <t>Metric</t>
  </si>
  <si>
    <t>Value</t>
  </si>
  <si>
    <t>Status</t>
  </si>
  <si>
    <t>Total Capital</t>
  </si>
  <si>
    <t>—</t>
  </si>
  <si>
    <t>Total Invested ₹</t>
  </si>
  <si>
    <t>Total Current Value ₹</t>
  </si>
  <si>
    <t>Total P&amp;L ₹</t>
  </si>
  <si>
    <t>Total P&amp;L %</t>
  </si>
  <si>
    <t>✅ Profit</t>
  </si>
  <si>
    <t>Total Risk if All SL Hit ₹</t>
  </si>
  <si>
    <t>Capital After Worst SL ₹</t>
  </si>
  <si>
    <t>Portfolio Drawdown %</t>
  </si>
  <si>
    <t>⚠ Warning</t>
  </si>
  <si>
    <t>Portfolio Heat %</t>
  </si>
  <si>
    <t>4% Warning Trigger</t>
  </si>
  <si>
    <t>6% Hard Stop</t>
  </si>
  <si>
    <t>Within Limit</t>
  </si>
  <si>
    <t>Active Stocks</t>
  </si>
  <si>
    <t>Cash Reserve ₹</t>
  </si>
  <si>
    <t>📉  STOCK_VISUALIZATION_DATA — Chart Source Table</t>
  </si>
  <si>
    <t>Entry</t>
  </si>
  <si>
    <t>Current</t>
  </si>
  <si>
    <t>🔗  POWER BI IMPORT GUIDE</t>
  </si>
  <si>
    <t>STEP</t>
  </si>
  <si>
    <t>Details</t>
  </si>
  <si>
    <t>1</t>
  </si>
  <si>
    <t>Open Power BI Desktop</t>
  </si>
  <si>
    <t>File → New</t>
  </si>
  <si>
    <t>2</t>
  </si>
  <si>
    <t>Get Data → Excel</t>
  </si>
  <si>
    <t>Select Tactical_Model_INSTITUTIONAL.xlsx</t>
  </si>
  <si>
    <t>3</t>
  </si>
  <si>
    <t>Select Tables</t>
  </si>
  <si>
    <t>Fact_Portfolio, Fact_Prices, Dim_Stock, Dim_Scenario</t>
  </si>
  <si>
    <t>4</t>
  </si>
  <si>
    <t>Or import CSVs</t>
  </si>
  <si>
    <t>Fact_Portfolio.csv, Fact_Prices.csv, Dim_Stock.csv, Dim_Scenario.csv</t>
  </si>
  <si>
    <t>5</t>
  </si>
  <si>
    <t>Set Relationships</t>
  </si>
  <si>
    <t>Fact_Portfolio[Stock] → Dim_Stock[Stock Name] (Many:One)</t>
  </si>
  <si>
    <t>6</t>
  </si>
  <si>
    <t>Add Relationship</t>
  </si>
  <si>
    <t>Fact_Prices[Stock] → Dim_Stock[Stock Name] (Many:One)</t>
  </si>
  <si>
    <t>7</t>
  </si>
  <si>
    <t>Create KPI Card DAX</t>
  </si>
  <si>
    <t>Total P&amp;L = SUM(Fact_Portfolio[P&amp;L ₹])</t>
  </si>
  <si>
    <t>8</t>
  </si>
  <si>
    <t>Create P&amp;L% DAX</t>
  </si>
  <si>
    <t>P&amp;L % = DIVIDE([Total P&amp;L], SUM(Fact_Portfolio[Investment Value]))</t>
  </si>
  <si>
    <t>9</t>
  </si>
  <si>
    <t>Portfolio Heat DAX</t>
  </si>
  <si>
    <t>Heat % = DIVIDE(SUM(Fact_Portfolio[Risk Amount ₹]), SUM(Fact_Portfolio[Investment Value]))</t>
  </si>
  <si>
    <t>10</t>
  </si>
  <si>
    <t>Build Visuals</t>
  </si>
  <si>
    <t>KPI Cards → Donut → Bar Chart → Table → Gauge</t>
  </si>
  <si>
    <t>11</t>
  </si>
  <si>
    <t>Add Slicers</t>
  </si>
  <si>
    <t>Slice by Sector, Scenario, Action, Risk Level</t>
  </si>
  <si>
    <t>12</t>
  </si>
  <si>
    <t>Apply Dark Theme</t>
  </si>
  <si>
    <t>View → Themes → Dark (or import custom)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</si>
</sst>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\₹#,##0.00"/>
    <numFmt numFmtId="165" formatCode="0&quot;%&quot;"/>
    <numFmt numFmtId="166" formatCode="dd\-mmm\-yy"/>
    <numFmt numFmtId="167" formatCode="0.00&quot;%&quot;"/>
  </numFmts>
  <fonts count="22" x14ac:knownFonts="1">
    <font>
      <sz val="11"/>
      <color theme="1"/>
      <name val="Calibri"/>
      <family val="2"/>
      <scheme val="minor"/>
    </font>
    <font>
      <b/>
      <sz val="10"/>
      <color rgb="FFE3B341"/>
      <name val="Calibri"/>
      <family val="2"/>
    </font>
    <font>
      <sz val="10"/>
      <color rgb="FFC9D1D9"/>
      <name val="Calibri"/>
      <family val="2"/>
    </font>
    <font>
      <b/>
      <sz val="10"/>
      <color rgb="FFC9D1D9"/>
      <name val="Calibri"/>
      <family val="2"/>
    </font>
    <font>
      <sz val="10"/>
      <color rgb="FF3FB950"/>
      <name val="Calibri"/>
      <family val="2"/>
    </font>
    <font>
      <b/>
      <sz val="10"/>
      <color rgb="FFF85149"/>
      <name val="Calibri"/>
      <family val="2"/>
    </font>
    <font>
      <b/>
      <sz val="13"/>
      <color rgb="FFBC8CFF"/>
      <name val="Calibri"/>
      <family val="2"/>
    </font>
    <font>
      <b/>
      <sz val="13"/>
      <color rgb="FFE3B341"/>
      <name val="Calibri"/>
      <family val="2"/>
    </font>
    <font>
      <b/>
      <sz val="10"/>
      <color rgb="FF3FB950"/>
      <name val="Calibri"/>
      <family val="2"/>
    </font>
    <font>
      <b/>
      <sz val="10"/>
      <color rgb="FF58A6FF"/>
      <name val="Calibri"/>
      <family val="2"/>
    </font>
    <font>
      <b/>
      <sz val="13"/>
      <color rgb="FF3FB950"/>
      <name val="Calibri"/>
      <family val="2"/>
    </font>
    <font>
      <b/>
      <sz val="13"/>
      <color rgb="FFF85149"/>
      <name val="Calibri"/>
      <family val="2"/>
    </font>
    <font>
      <b/>
      <sz val="11"/>
      <color rgb="FFFFFFFF"/>
      <name val="Calibri"/>
      <family val="2"/>
    </font>
    <font>
      <b/>
      <sz val="11"/>
      <color rgb="FF3FB950"/>
      <name val="Calibri"/>
      <family val="2"/>
    </font>
    <font>
      <sz val="10"/>
      <color rgb="FFE3B341"/>
      <name val="Calibri"/>
      <family val="2"/>
    </font>
    <font>
      <b/>
      <sz val="10"/>
      <color rgb="FFFFFFFF"/>
      <name val="Calibri"/>
      <family val="2"/>
    </font>
    <font>
      <b/>
      <sz val="12"/>
      <color rgb="FFFFD700"/>
      <name val="Calibri"/>
    </font>
    <font>
      <b/>
      <sz val="10"/>
      <color rgb="FFFFFFFF"/>
      <name val="Calibri"/>
    </font>
    <font>
      <sz val="10"/>
      <color rgb="FFE8EDF2"/>
      <name val="Calibri"/>
    </font>
    <font>
      <i/>
      <sz val="10"/>
      <color rgb="FFE8EDF2"/>
      <name val="Calibri"/>
    </font>
    <font>
      <sz val="10"/>
      <color rgb="FF00C853"/>
      <name val="Calibri"/>
    </font>
    <font>
      <sz val="10"/>
      <color rgb="FF8A9BB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61B22"/>
      </patternFill>
    </fill>
    <fill>
      <patternFill patternType="solid">
        <fgColor rgb="FF1C2128"/>
      </patternFill>
    </fill>
    <fill>
      <patternFill patternType="solid">
        <fgColor rgb="FF0D1117"/>
      </patternFill>
    </fill>
    <fill>
      <patternFill patternType="solid">
        <fgColor rgb="FF0D1B2A"/>
      </patternFill>
    </fill>
    <fill>
      <patternFill patternType="solid">
        <fgColor rgb="FF1F3864"/>
      </patternFill>
    </fill>
    <fill>
      <patternFill patternType="solid">
        <fgColor rgb="FF111B27"/>
      </patternFill>
    </fill>
    <fill>
      <patternFill patternType="solid">
        <fgColor rgb="FF0E1720"/>
      </patternFill>
    </fill>
    <fill>
      <patternFill patternType="solid">
        <fgColor rgb="FF1A2535"/>
      </patternFill>
    </fill>
    <fill>
      <patternFill patternType="solid">
        <fgColor rgb="FF162030"/>
      </patternFill>
    </fill>
  </fills>
  <borders count="4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>
      <left style="thin">
        <color rgb="FF2E4057"/>
      </left>
      <right style="thin">
        <color rgb="FF2E4057"/>
      </right>
      <top style="thin">
        <color rgb="FF2E4057"/>
      </top>
      <bottom style="thin">
        <color rgb="FF2E4057"/>
      </bottom>
      <diagonal/>
    </border>
    <border>
      <left style="thin">
        <color rgb="FF2E4057"/>
      </left>
      <right style="thin">
        <color rgb="FF2E4057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1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12" fillId="4" borderId="1" xfId="0" applyNumberFormat="1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/>
    </xf>
    <xf numFmtId="167" fontId="1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7" fontId="12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67" fontId="12" fillId="3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7" fillId="6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left" vertical="center"/>
    </xf>
    <xf numFmtId="0" fontId="18" fillId="7" borderId="2" xfId="0" applyFont="1" applyFill="1" applyBorder="1" applyAlignment="1">
      <alignment horizontal="center" vertical="center"/>
    </xf>
    <xf numFmtId="4" fontId="18" fillId="7" borderId="2" xfId="0" applyNumberFormat="1" applyFont="1" applyFill="1" applyBorder="1" applyAlignment="1">
      <alignment horizontal="right" vertical="center"/>
    </xf>
    <xf numFmtId="0" fontId="18" fillId="7" borderId="2" xfId="0" applyFont="1" applyFill="1" applyBorder="1" applyAlignment="1">
      <alignment horizontal="right" vertical="center"/>
    </xf>
    <xf numFmtId="4" fontId="19" fillId="8" borderId="2" xfId="0" applyNumberFormat="1" applyFont="1" applyFill="1" applyBorder="1" applyAlignment="1">
      <alignment horizontal="right" vertical="center"/>
    </xf>
    <xf numFmtId="10" fontId="20" fillId="8" borderId="2" xfId="0" applyNumberFormat="1" applyFont="1" applyFill="1" applyBorder="1" applyAlignment="1">
      <alignment horizontal="right" vertical="center"/>
    </xf>
    <xf numFmtId="10" fontId="19" fillId="8" borderId="2" xfId="0" applyNumberFormat="1" applyFont="1" applyFill="1" applyBorder="1" applyAlignment="1">
      <alignment horizontal="right" vertical="center"/>
    </xf>
    <xf numFmtId="2" fontId="19" fillId="8" borderId="2" xfId="0" applyNumberFormat="1" applyFont="1" applyFill="1" applyBorder="1" applyAlignment="1">
      <alignment horizontal="right" vertical="center"/>
    </xf>
    <xf numFmtId="0" fontId="21" fillId="8" borderId="2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left" vertical="center"/>
    </xf>
    <xf numFmtId="0" fontId="18" fillId="9" borderId="2" xfId="0" applyFont="1" applyFill="1" applyBorder="1" applyAlignment="1">
      <alignment horizontal="center" vertical="center"/>
    </xf>
    <xf numFmtId="4" fontId="18" fillId="9" borderId="2" xfId="0" applyNumberFormat="1" applyFont="1" applyFill="1" applyBorder="1" applyAlignment="1">
      <alignment horizontal="right" vertical="center"/>
    </xf>
    <xf numFmtId="0" fontId="18" fillId="9" borderId="2" xfId="0" applyFont="1" applyFill="1" applyBorder="1" applyAlignment="1">
      <alignment horizontal="right" vertical="center"/>
    </xf>
    <xf numFmtId="4" fontId="19" fillId="10" borderId="2" xfId="0" applyNumberFormat="1" applyFont="1" applyFill="1" applyBorder="1" applyAlignment="1">
      <alignment horizontal="right" vertical="center"/>
    </xf>
    <xf numFmtId="10" fontId="20" fillId="10" borderId="2" xfId="0" applyNumberFormat="1" applyFont="1" applyFill="1" applyBorder="1" applyAlignment="1">
      <alignment horizontal="right" vertical="center"/>
    </xf>
    <xf numFmtId="10" fontId="19" fillId="10" borderId="2" xfId="0" applyNumberFormat="1" applyFont="1" applyFill="1" applyBorder="1" applyAlignment="1">
      <alignment horizontal="right" vertical="center"/>
    </xf>
    <xf numFmtId="2" fontId="19" fillId="10" borderId="2" xfId="0" applyNumberFormat="1" applyFont="1" applyFill="1" applyBorder="1" applyAlignment="1">
      <alignment horizontal="right" vertical="center"/>
    </xf>
    <xf numFmtId="0" fontId="21" fillId="10" borderId="2" xfId="0" applyFont="1" applyFill="1" applyBorder="1" applyAlignment="1">
      <alignment horizontal="center" vertical="center"/>
    </xf>
    <xf numFmtId="4" fontId="18" fillId="9" borderId="3" xfId="0" applyNumberFormat="1" applyFont="1" applyFill="1" applyBorder="1" applyAlignment="1">
      <alignment horizontal="right" vertical="center"/>
    </xf>
    <xf numFmtId="4" fontId="0" fillId="0" borderId="0" xfId="0" applyNumberFormat="1"/>
    <xf numFmtId="10" fontId="0" fillId="0" borderId="0" xfId="0" applyNumberFormat="1"/>
    <xf numFmtId="2" fontId="0" fillId="0" borderId="0" xfId="0" applyNumberFormat="1"/>
    <xf numFmtId="4" fontId="0" fillId="0" borderId="2" xfId="0" applyNumberFormat="1" applyBorder="1"/>
    <xf numFmtId="4" fontId="18" fillId="9" borderId="0" xfId="0" applyNumberFormat="1" applyFont="1" applyFill="1" applyAlignment="1">
      <alignment horizontal="right" vertical="center"/>
    </xf>
    <xf numFmtId="0" fontId="0" fillId="0" borderId="2" xfId="0" applyBorder="1"/>
    <xf numFmtId="0" fontId="18" fillId="9" borderId="0" xfId="0" applyFont="1" applyFill="1" applyAlignment="1">
      <alignment horizontal="center" vertical="center"/>
    </xf>
    <xf numFmtId="4" fontId="19" fillId="10" borderId="0" xfId="0" applyNumberFormat="1" applyFont="1" applyFill="1" applyAlignment="1">
      <alignment horizontal="right" vertical="center"/>
    </xf>
    <xf numFmtId="10" fontId="0" fillId="0" borderId="2" xfId="0" applyNumberFormat="1" applyBorder="1"/>
    <xf numFmtId="10" fontId="20" fillId="10" borderId="0" xfId="0" applyNumberFormat="1" applyFont="1" applyFill="1" applyAlignment="1">
      <alignment horizontal="right" vertical="center"/>
    </xf>
    <xf numFmtId="10" fontId="19" fillId="10" borderId="0" xfId="0" applyNumberFormat="1" applyFont="1" applyFill="1" applyAlignment="1">
      <alignment horizontal="right" vertical="center"/>
    </xf>
    <xf numFmtId="2" fontId="0" fillId="0" borderId="2" xfId="0" applyNumberFormat="1" applyBorder="1"/>
    <xf numFmtId="2" fontId="19" fillId="10" borderId="0" xfId="0" applyNumberFormat="1" applyFont="1" applyFill="1" applyAlignment="1">
      <alignment horizontal="right" vertical="center"/>
    </xf>
    <xf numFmtId="0" fontId="21" fillId="10" borderId="0" xfId="0" applyFont="1" applyFill="1" applyAlignment="1">
      <alignment horizontal="center" vertical="center"/>
    </xf>
    <xf numFmtId="0" fontId="0" fillId="0" borderId="0" xfId="0"/>
    <xf numFmtId="4" fontId="18" fillId="7" borderId="2" xfId="0" applyNumberFormat="1" applyFont="1" applyFill="1" applyBorder="1" applyAlignment="1">
      <alignment horizontal="right" vertical="center" wrapText="1"/>
    </xf>
    <xf numFmtId="40" fontId="20" fillId="10" borderId="2" xfId="0" applyNumberFormat="1" applyFont="1" applyFill="1" applyBorder="1" applyAlignment="1">
      <alignment horizontal="right" vertical="center"/>
    </xf>
    <xf numFmtId="40" fontId="20" fillId="8" borderId="2" xfId="0" applyNumberFormat="1" applyFont="1" applyFill="1" applyBorder="1" applyAlignment="1">
      <alignment horizontal="right" vertical="center"/>
    </xf>
    <xf numFmtId="40" fontId="0" fillId="0" borderId="2" xfId="0" applyNumberFormat="1" applyBorder="1"/>
    <xf numFmtId="40" fontId="20" fillId="10" borderId="0" xfId="0" applyNumberFormat="1" applyFont="1" applyFill="1" applyAlignment="1">
      <alignment horizontal="right" vertical="center"/>
    </xf>
    <xf numFmtId="40" fontId="0" fillId="0" borderId="0" xfId="0" applyNumberFormat="1"/>
    <xf numFmtId="0" fontId="16" fillId="5" borderId="0" xfId="0" applyFont="1" applyFill="1" applyAlignment="1">
      <alignment horizontal="center" vertical="center" wrapText="1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Entry vs Current Price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Stock_Visualization_Data!$B$2</c:f>
              <c:strCache>
                <c:ptCount val="1"/>
                <c:pt idx="0">
                  <c:v>Entry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Stock_Visualization_Data!$A$3:$A$12</c:f>
              <c:strCache>
                <c:ptCount val="10"/>
                <c:pt idx="0">
                  <c:v>BPCL</c:v>
                </c:pt>
                <c:pt idx="1">
                  <c:v>ONGC</c:v>
                </c:pt>
                <c:pt idx="2">
                  <c:v>IOC</c:v>
                </c:pt>
                <c:pt idx="3">
                  <c:v>BEL</c:v>
                </c:pt>
                <c:pt idx="4">
                  <c:v>GMR Aiports</c:v>
                </c:pt>
                <c:pt idx="5">
                  <c:v>Suzlon Energy</c:v>
                </c:pt>
                <c:pt idx="6">
                  <c:v>Tata Gold Exchange Traded Fund</c:v>
                </c:pt>
                <c:pt idx="7">
                  <c:v>Tata Silver Exchange Traded Fund</c:v>
                </c:pt>
                <c:pt idx="8">
                  <c:v>GOLDBEES</c:v>
                </c:pt>
                <c:pt idx="9">
                  <c:v>SILVERBEES</c:v>
                </c:pt>
              </c:strCache>
            </c:strRef>
          </c:cat>
          <c:val>
            <c:numRef>
              <c:f>Stock_Visualization_Data!$B$3:$B$12</c:f>
              <c:numCache>
                <c:formatCode>\₹#,##0.00</c:formatCode>
                <c:ptCount val="10"/>
                <c:pt idx="0">
                  <c:v>372.45</c:v>
                </c:pt>
                <c:pt idx="1">
                  <c:v>279.35000000000002</c:v>
                </c:pt>
                <c:pt idx="2">
                  <c:v>179.8</c:v>
                </c:pt>
                <c:pt idx="3">
                  <c:v>450.8</c:v>
                </c:pt>
                <c:pt idx="4">
                  <c:v>105.22</c:v>
                </c:pt>
                <c:pt idx="5">
                  <c:v>40.054000000000002</c:v>
                </c:pt>
                <c:pt idx="6">
                  <c:v>16.03</c:v>
                </c:pt>
                <c:pt idx="7">
                  <c:v>27.35</c:v>
                </c:pt>
                <c:pt idx="8">
                  <c:v>132</c:v>
                </c:pt>
                <c:pt idx="9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5-4C9C-8CAA-163FC12BD9F8}"/>
            </c:ext>
          </c:extLst>
        </c:ser>
        <c:ser>
          <c:idx val="1"/>
          <c:order val="1"/>
          <c:tx>
            <c:strRef>
              <c:f>Stock_Visualization_Data!$C$2</c:f>
              <c:strCache>
                <c:ptCount val="1"/>
                <c:pt idx="0">
                  <c:v>Current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Stock_Visualization_Data!$A$3:$A$12</c:f>
              <c:strCache>
                <c:ptCount val="10"/>
                <c:pt idx="0">
                  <c:v>BPCL</c:v>
                </c:pt>
                <c:pt idx="1">
                  <c:v>ONGC</c:v>
                </c:pt>
                <c:pt idx="2">
                  <c:v>IOC</c:v>
                </c:pt>
                <c:pt idx="3">
                  <c:v>BEL</c:v>
                </c:pt>
                <c:pt idx="4">
                  <c:v>GMR Aiports</c:v>
                </c:pt>
                <c:pt idx="5">
                  <c:v>Suzlon Energy</c:v>
                </c:pt>
                <c:pt idx="6">
                  <c:v>Tata Gold Exchange Traded Fund</c:v>
                </c:pt>
                <c:pt idx="7">
                  <c:v>Tata Silver Exchange Traded Fund</c:v>
                </c:pt>
                <c:pt idx="8">
                  <c:v>GOLDBEES</c:v>
                </c:pt>
                <c:pt idx="9">
                  <c:v>SILVERBEES</c:v>
                </c:pt>
              </c:strCache>
            </c:strRef>
          </c:cat>
          <c:val>
            <c:numRef>
              <c:f>Stock_Visualization_Data!$C$3:$C$12</c:f>
              <c:numCache>
                <c:formatCode>\₹#,##0.00</c:formatCode>
                <c:ptCount val="10"/>
                <c:pt idx="0">
                  <c:v>370</c:v>
                </c:pt>
                <c:pt idx="1">
                  <c:v>281.75</c:v>
                </c:pt>
                <c:pt idx="2">
                  <c:v>177.17</c:v>
                </c:pt>
                <c:pt idx="3">
                  <c:v>448.8</c:v>
                </c:pt>
                <c:pt idx="4">
                  <c:v>95.1</c:v>
                </c:pt>
                <c:pt idx="5">
                  <c:v>40.22</c:v>
                </c:pt>
                <c:pt idx="6">
                  <c:v>16.21</c:v>
                </c:pt>
                <c:pt idx="7">
                  <c:v>27.84</c:v>
                </c:pt>
                <c:pt idx="8">
                  <c:v>138.54</c:v>
                </c:pt>
                <c:pt idx="9">
                  <c:v>273.70999999999998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95-4C9C-8CAA-163FC12BD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Stock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 (₹)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Stop Loss Levels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Stock_Visualization_Data!$D$2</c:f>
              <c:strCache>
                <c:ptCount val="1"/>
                <c:pt idx="0">
                  <c:v>Stop Loss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Stock_Visualization_Data!$A$3:$A$12</c:f>
              <c:strCache>
                <c:ptCount val="10"/>
                <c:pt idx="0">
                  <c:v>BPCL</c:v>
                </c:pt>
                <c:pt idx="1">
                  <c:v>ONGC</c:v>
                </c:pt>
                <c:pt idx="2">
                  <c:v>IOC</c:v>
                </c:pt>
                <c:pt idx="3">
                  <c:v>BEL</c:v>
                </c:pt>
                <c:pt idx="4">
                  <c:v>GMR Aiports</c:v>
                </c:pt>
                <c:pt idx="5">
                  <c:v>Suzlon Energy</c:v>
                </c:pt>
                <c:pt idx="6">
                  <c:v>Tata Gold Exchange Traded Fund</c:v>
                </c:pt>
                <c:pt idx="7">
                  <c:v>Tata Silver Exchange Traded Fund</c:v>
                </c:pt>
                <c:pt idx="8">
                  <c:v>GOLDBEES</c:v>
                </c:pt>
                <c:pt idx="9">
                  <c:v>SILVERBEES</c:v>
                </c:pt>
              </c:strCache>
            </c:strRef>
          </c:cat>
          <c:val>
            <c:numRef>
              <c:f>Stock_Visualization_Data!$D$3:$D$12</c:f>
              <c:numCache>
                <c:formatCode>\₹#,##0.00</c:formatCode>
                <c:ptCount val="10"/>
                <c:pt idx="0">
                  <c:v>353.82749999999999</c:v>
                </c:pt>
                <c:pt idx="1">
                  <c:v>265.38249999999999</c:v>
                </c:pt>
                <c:pt idx="2">
                  <c:v>170.81</c:v>
                </c:pt>
                <c:pt idx="3">
                  <c:v>428.26</c:v>
                </c:pt>
                <c:pt idx="4">
                  <c:v>99.958999999999989</c:v>
                </c:pt>
                <c:pt idx="5">
                  <c:v>38.051299999999998</c:v>
                </c:pt>
                <c:pt idx="6">
                  <c:v>15.2285</c:v>
                </c:pt>
                <c:pt idx="7">
                  <c:v>25.982500000000002</c:v>
                </c:pt>
                <c:pt idx="8">
                  <c:v>125.4</c:v>
                </c:pt>
                <c:pt idx="9">
                  <c:v>240.35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F-4FCB-9E54-BE3A28460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Stock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 (₹)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Target 1 (6%)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Stock_Visualization_Data!$E$2</c:f>
              <c:strCache>
                <c:ptCount val="1"/>
                <c:pt idx="0">
                  <c:v>Target 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Stock_Visualization_Data!$A$3:$A$12</c:f>
              <c:strCache>
                <c:ptCount val="10"/>
                <c:pt idx="0">
                  <c:v>BPCL</c:v>
                </c:pt>
                <c:pt idx="1">
                  <c:v>ONGC</c:v>
                </c:pt>
                <c:pt idx="2">
                  <c:v>IOC</c:v>
                </c:pt>
                <c:pt idx="3">
                  <c:v>BEL</c:v>
                </c:pt>
                <c:pt idx="4">
                  <c:v>GMR Aiports</c:v>
                </c:pt>
                <c:pt idx="5">
                  <c:v>Suzlon Energy</c:v>
                </c:pt>
                <c:pt idx="6">
                  <c:v>Tata Gold Exchange Traded Fund</c:v>
                </c:pt>
                <c:pt idx="7">
                  <c:v>Tata Silver Exchange Traded Fund</c:v>
                </c:pt>
                <c:pt idx="8">
                  <c:v>GOLDBEES</c:v>
                </c:pt>
                <c:pt idx="9">
                  <c:v>SILVERBEES</c:v>
                </c:pt>
              </c:strCache>
            </c:strRef>
          </c:cat>
          <c:val>
            <c:numRef>
              <c:f>Stock_Visualization_Data!$E$3:$E$12</c:f>
              <c:numCache>
                <c:formatCode>\₹#,##0.00</c:formatCode>
                <c:ptCount val="10"/>
                <c:pt idx="0">
                  <c:v>394.79700000000003</c:v>
                </c:pt>
                <c:pt idx="1">
                  <c:v>296.11099999999999</c:v>
                </c:pt>
                <c:pt idx="2">
                  <c:v>190.58799999999999</c:v>
                </c:pt>
                <c:pt idx="3">
                  <c:v>477.84800000000001</c:v>
                </c:pt>
                <c:pt idx="4">
                  <c:v>111.53319999999999</c:v>
                </c:pt>
                <c:pt idx="5">
                  <c:v>42.457240000000013</c:v>
                </c:pt>
                <c:pt idx="6">
                  <c:v>16.991800000000001</c:v>
                </c:pt>
                <c:pt idx="7">
                  <c:v>28.991</c:v>
                </c:pt>
                <c:pt idx="8">
                  <c:v>139.91999999999999</c:v>
                </c:pt>
                <c:pt idx="9">
                  <c:v>268.18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4-4431-8808-64415DDB3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Stock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 (₹)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Target 2-3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Stock_Visualization_Data!$F$2</c:f>
              <c:strCache>
                <c:ptCount val="1"/>
                <c:pt idx="0">
                  <c:v>Target 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Stock_Visualization_Data!$A$3:$A$12</c:f>
              <c:strCache>
                <c:ptCount val="10"/>
                <c:pt idx="0">
                  <c:v>BPCL</c:v>
                </c:pt>
                <c:pt idx="1">
                  <c:v>ONGC</c:v>
                </c:pt>
                <c:pt idx="2">
                  <c:v>IOC</c:v>
                </c:pt>
                <c:pt idx="3">
                  <c:v>BEL</c:v>
                </c:pt>
                <c:pt idx="4">
                  <c:v>GMR Aiports</c:v>
                </c:pt>
                <c:pt idx="5">
                  <c:v>Suzlon Energy</c:v>
                </c:pt>
                <c:pt idx="6">
                  <c:v>Tata Gold Exchange Traded Fund</c:v>
                </c:pt>
                <c:pt idx="7">
                  <c:v>Tata Silver Exchange Traded Fund</c:v>
                </c:pt>
                <c:pt idx="8">
                  <c:v>GOLDBEES</c:v>
                </c:pt>
                <c:pt idx="9">
                  <c:v>SILVERBEES</c:v>
                </c:pt>
              </c:strCache>
            </c:strRef>
          </c:cat>
          <c:val>
            <c:numRef>
              <c:f>Stock_Visualization_Data!$F$3:$F$12</c:f>
              <c:numCache>
                <c:formatCode>\₹#,##0.00</c:formatCode>
                <c:ptCount val="10"/>
                <c:pt idx="0">
                  <c:v>409.69499999999999</c:v>
                </c:pt>
                <c:pt idx="1">
                  <c:v>307.28500000000003</c:v>
                </c:pt>
                <c:pt idx="2">
                  <c:v>197.78</c:v>
                </c:pt>
                <c:pt idx="3">
                  <c:v>495.88000000000011</c:v>
                </c:pt>
                <c:pt idx="4">
                  <c:v>115.742</c:v>
                </c:pt>
                <c:pt idx="5">
                  <c:v>44.059399999999997</c:v>
                </c:pt>
                <c:pt idx="6">
                  <c:v>17.632999999999999</c:v>
                </c:pt>
                <c:pt idx="7">
                  <c:v>30.085000000000001</c:v>
                </c:pt>
                <c:pt idx="8">
                  <c:v>145.19999999999999</c:v>
                </c:pt>
                <c:pt idx="9">
                  <c:v>278.3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3-4D45-9126-6182666B7E2D}"/>
            </c:ext>
          </c:extLst>
        </c:ser>
        <c:ser>
          <c:idx val="1"/>
          <c:order val="1"/>
          <c:tx>
            <c:strRef>
              <c:f>Stock_Visualization_Data!$G$2</c:f>
              <c:strCache>
                <c:ptCount val="1"/>
                <c:pt idx="0">
                  <c:v>Target 3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Stock_Visualization_Data!$A$3:$A$12</c:f>
              <c:strCache>
                <c:ptCount val="10"/>
                <c:pt idx="0">
                  <c:v>BPCL</c:v>
                </c:pt>
                <c:pt idx="1">
                  <c:v>ONGC</c:v>
                </c:pt>
                <c:pt idx="2">
                  <c:v>IOC</c:v>
                </c:pt>
                <c:pt idx="3">
                  <c:v>BEL</c:v>
                </c:pt>
                <c:pt idx="4">
                  <c:v>GMR Aiports</c:v>
                </c:pt>
                <c:pt idx="5">
                  <c:v>Suzlon Energy</c:v>
                </c:pt>
                <c:pt idx="6">
                  <c:v>Tata Gold Exchange Traded Fund</c:v>
                </c:pt>
                <c:pt idx="7">
                  <c:v>Tata Silver Exchange Traded Fund</c:v>
                </c:pt>
                <c:pt idx="8">
                  <c:v>GOLDBEES</c:v>
                </c:pt>
                <c:pt idx="9">
                  <c:v>SILVERBEES</c:v>
                </c:pt>
              </c:strCache>
            </c:strRef>
          </c:cat>
          <c:val>
            <c:numRef>
              <c:f>Stock_Visualization_Data!$G$3:$G$12</c:f>
              <c:numCache>
                <c:formatCode>\₹#,##0.00</c:formatCode>
                <c:ptCount val="10"/>
                <c:pt idx="0">
                  <c:v>428.31749999999988</c:v>
                </c:pt>
                <c:pt idx="1">
                  <c:v>321.2525</c:v>
                </c:pt>
                <c:pt idx="2">
                  <c:v>206.77</c:v>
                </c:pt>
                <c:pt idx="3">
                  <c:v>518.41999999999996</c:v>
                </c:pt>
                <c:pt idx="4">
                  <c:v>121.003</c:v>
                </c:pt>
                <c:pt idx="5">
                  <c:v>46.062100000000001</c:v>
                </c:pt>
                <c:pt idx="6">
                  <c:v>18.4345</c:v>
                </c:pt>
                <c:pt idx="7">
                  <c:v>31.452500000000001</c:v>
                </c:pt>
                <c:pt idx="8">
                  <c:v>151.80000000000001</c:v>
                </c:pt>
                <c:pt idx="9">
                  <c:v>290.95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33-4D45-9126-6182666B7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Stock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 (₹)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262759</xdr:colOff>
      <xdr:row>16</xdr:row>
      <xdr:rowOff>26276</xdr:rowOff>
    </xdr:from>
    <xdr:ext cx="7200000" cy="46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137444</xdr:colOff>
      <xdr:row>15</xdr:row>
      <xdr:rowOff>137443</xdr:rowOff>
    </xdr:from>
    <xdr:ext cx="7200000" cy="46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273503</xdr:colOff>
      <xdr:row>45</xdr:row>
      <xdr:rowOff>166131</xdr:rowOff>
    </xdr:from>
    <xdr:ext cx="7200000" cy="468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45816</xdr:colOff>
      <xdr:row>46</xdr:row>
      <xdr:rowOff>72765</xdr:rowOff>
    </xdr:from>
    <xdr:ext cx="7200000" cy="468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8A6FF"/>
  </sheetPr>
  <dimension ref="A1:Z11"/>
  <sheetViews>
    <sheetView tabSelected="1" workbookViewId="0">
      <pane ySplit="2" topLeftCell="A3" activePane="bottomLeft" state="frozen"/>
      <selection pane="bottomLeft" activeCell="G13" sqref="G13"/>
    </sheetView>
  </sheetViews>
  <sheetFormatPr defaultRowHeight="14.4" x14ac:dyDescent="0.3"/>
  <cols>
    <col min="1" max="1" width="26" style="67" customWidth="1"/>
    <col min="2" max="2" width="14" style="67" customWidth="1"/>
    <col min="3" max="3" width="16" style="67" customWidth="1"/>
    <col min="4" max="4" width="14" style="67" customWidth="1"/>
    <col min="5" max="5" width="13" style="67" customWidth="1"/>
    <col min="6" max="6" width="10" style="67" customWidth="1"/>
    <col min="7" max="10" width="12" style="67" customWidth="1"/>
    <col min="11" max="11" width="10" style="67" customWidth="1"/>
    <col min="12" max="12" width="15" style="67" customWidth="1"/>
    <col min="13" max="14" width="14" style="67" customWidth="1"/>
    <col min="15" max="15" width="12" style="67" customWidth="1"/>
    <col min="16" max="16" width="10" style="67" customWidth="1"/>
    <col min="17" max="17" width="14" style="67" customWidth="1"/>
    <col min="18" max="18" width="16" style="67" customWidth="1"/>
    <col min="19" max="20" width="12" style="67" customWidth="1"/>
    <col min="21" max="23" width="14" style="67" customWidth="1"/>
    <col min="24" max="24" width="16" style="67" customWidth="1"/>
    <col min="25" max="25" width="12" style="67" customWidth="1"/>
    <col min="26" max="26" width="13" style="67" customWidth="1"/>
  </cols>
  <sheetData>
    <row r="1" spans="1:26" ht="28.05" customHeight="1" x14ac:dyDescent="0.3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6" ht="36" customHeight="1" x14ac:dyDescent="0.3">
      <c r="A2" s="33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3" t="s">
        <v>10</v>
      </c>
      <c r="K2" s="33" t="s">
        <v>11</v>
      </c>
      <c r="L2" s="33" t="s">
        <v>12</v>
      </c>
      <c r="M2" s="33" t="s">
        <v>13</v>
      </c>
      <c r="N2" s="33" t="s">
        <v>14</v>
      </c>
      <c r="O2" s="33" t="s">
        <v>15</v>
      </c>
      <c r="P2" s="33" t="s">
        <v>16</v>
      </c>
      <c r="Q2" s="33" t="s">
        <v>17</v>
      </c>
      <c r="R2" s="33" t="s">
        <v>18</v>
      </c>
      <c r="S2" s="33" t="s">
        <v>19</v>
      </c>
      <c r="T2" s="33" t="s">
        <v>20</v>
      </c>
      <c r="U2" s="33" t="s">
        <v>21</v>
      </c>
      <c r="V2" s="33" t="s">
        <v>22</v>
      </c>
      <c r="W2" s="33" t="s">
        <v>23</v>
      </c>
      <c r="X2" s="33" t="s">
        <v>24</v>
      </c>
      <c r="Y2" s="33" t="s">
        <v>25</v>
      </c>
      <c r="Z2" s="33" t="s">
        <v>26</v>
      </c>
    </row>
    <row r="3" spans="1:26" ht="19.95" customHeight="1" x14ac:dyDescent="0.3">
      <c r="A3" s="43" t="s">
        <v>27</v>
      </c>
      <c r="B3" s="44" t="s">
        <v>28</v>
      </c>
      <c r="C3" s="44" t="s">
        <v>29</v>
      </c>
      <c r="D3" s="45">
        <v>19790.32</v>
      </c>
      <c r="E3" s="45">
        <v>449.8</v>
      </c>
      <c r="F3" s="46">
        <v>44</v>
      </c>
      <c r="G3" s="45">
        <v>477.84800000000001</v>
      </c>
      <c r="H3" s="45">
        <v>495.88000000000011</v>
      </c>
      <c r="I3" s="45">
        <v>518.41999999999996</v>
      </c>
      <c r="J3" s="45">
        <v>428.26</v>
      </c>
      <c r="K3" s="44" t="s">
        <v>30</v>
      </c>
      <c r="L3" s="45">
        <v>14876.4</v>
      </c>
      <c r="M3" s="45">
        <v>453.75</v>
      </c>
      <c r="N3" s="47">
        <v>14973.75</v>
      </c>
      <c r="O3" s="69">
        <v>97.35</v>
      </c>
      <c r="P3" s="48">
        <v>6.5440000000000003E-3</v>
      </c>
      <c r="Q3" s="47">
        <v>743.82</v>
      </c>
      <c r="R3" s="47">
        <v>14132.58</v>
      </c>
      <c r="S3" s="49">
        <v>5.6175999999999997E-2</v>
      </c>
      <c r="T3" s="49">
        <v>5.3109000000000003E-2</v>
      </c>
      <c r="U3" s="50">
        <v>1.2</v>
      </c>
      <c r="V3" s="47">
        <v>892.58</v>
      </c>
      <c r="W3" s="51" t="s">
        <v>31</v>
      </c>
      <c r="X3" s="44" t="s">
        <v>32</v>
      </c>
      <c r="Y3" s="44" t="s">
        <v>30</v>
      </c>
      <c r="Z3" s="44" t="s">
        <v>33</v>
      </c>
    </row>
    <row r="4" spans="1:26" ht="19.95" customHeight="1" x14ac:dyDescent="0.3">
      <c r="A4" s="34" t="s">
        <v>34</v>
      </c>
      <c r="B4" s="35" t="s">
        <v>35</v>
      </c>
      <c r="C4" s="35" t="s">
        <v>36</v>
      </c>
      <c r="D4" s="36">
        <v>1489.8</v>
      </c>
      <c r="E4" s="36">
        <v>358.6</v>
      </c>
      <c r="F4" s="37">
        <v>4</v>
      </c>
      <c r="G4" s="36">
        <v>394.79700000000003</v>
      </c>
      <c r="H4" s="36">
        <v>409.69499999999999</v>
      </c>
      <c r="I4" s="36">
        <v>428.31749999999988</v>
      </c>
      <c r="J4" s="36">
        <v>353.82749999999999</v>
      </c>
      <c r="K4" s="35" t="s">
        <v>37</v>
      </c>
      <c r="L4" s="36">
        <v>14153.1</v>
      </c>
      <c r="M4" s="36">
        <v>359</v>
      </c>
      <c r="N4" s="38">
        <v>13642</v>
      </c>
      <c r="O4" s="70">
        <v>-511.1</v>
      </c>
      <c r="P4" s="39">
        <v>-3.6111999999999998E-2</v>
      </c>
      <c r="Q4" s="38">
        <v>707.66</v>
      </c>
      <c r="R4" s="38">
        <v>13445.44</v>
      </c>
      <c r="S4" s="40">
        <v>1.4408000000000001E-2</v>
      </c>
      <c r="T4" s="40">
        <v>9.9712999999999996E-2</v>
      </c>
      <c r="U4" s="41">
        <v>1.2</v>
      </c>
      <c r="V4" s="38">
        <v>849.19</v>
      </c>
      <c r="W4" s="42" t="s">
        <v>31</v>
      </c>
      <c r="X4" s="35" t="s">
        <v>38</v>
      </c>
      <c r="Y4" s="35" t="s">
        <v>37</v>
      </c>
      <c r="Z4" s="35" t="s">
        <v>33</v>
      </c>
    </row>
    <row r="5" spans="1:26" ht="19.95" customHeight="1" x14ac:dyDescent="0.3">
      <c r="A5" s="34" t="s">
        <v>44</v>
      </c>
      <c r="B5" s="35" t="s">
        <v>45</v>
      </c>
      <c r="C5" s="35" t="s">
        <v>46</v>
      </c>
      <c r="D5" s="68">
        <v>15171.52</v>
      </c>
      <c r="E5" s="36">
        <v>135.46</v>
      </c>
      <c r="F5" s="37">
        <v>112</v>
      </c>
      <c r="G5" s="36">
        <v>139.91999999999999</v>
      </c>
      <c r="H5" s="36">
        <v>145.19999999999999</v>
      </c>
      <c r="I5" s="36">
        <v>151.80000000000001</v>
      </c>
      <c r="J5" s="36">
        <v>125.4</v>
      </c>
      <c r="K5" s="35" t="s">
        <v>47</v>
      </c>
      <c r="L5" s="36">
        <v>10108.4</v>
      </c>
      <c r="M5" s="36">
        <v>133.57</v>
      </c>
      <c r="N5" s="38">
        <v>9884.18</v>
      </c>
      <c r="O5" s="70">
        <v>-224.22</v>
      </c>
      <c r="P5" s="39">
        <v>-2.2182E-2</v>
      </c>
      <c r="Q5" s="38">
        <v>828.8</v>
      </c>
      <c r="R5" s="38">
        <v>9279.6</v>
      </c>
      <c r="S5" s="40">
        <v>6.1165999999999998E-2</v>
      </c>
      <c r="T5" s="40">
        <v>4.7541E-2</v>
      </c>
      <c r="U5" s="41">
        <v>0.3</v>
      </c>
      <c r="V5" s="38">
        <v>248.64</v>
      </c>
      <c r="W5" s="42" t="s">
        <v>31</v>
      </c>
      <c r="X5" s="35" t="s">
        <v>48</v>
      </c>
      <c r="Y5" s="35" t="s">
        <v>47</v>
      </c>
      <c r="Z5" s="35" t="s">
        <v>33</v>
      </c>
    </row>
    <row r="6" spans="1:26" ht="19.95" customHeight="1" x14ac:dyDescent="0.3">
      <c r="A6" s="43" t="s">
        <v>50</v>
      </c>
      <c r="B6" s="44" t="s">
        <v>35</v>
      </c>
      <c r="C6" s="44" t="s">
        <v>51</v>
      </c>
      <c r="D6" s="45">
        <v>14242.26</v>
      </c>
      <c r="E6" s="45">
        <v>279.26</v>
      </c>
      <c r="F6" s="46">
        <v>51</v>
      </c>
      <c r="G6" s="45">
        <v>296.11099999999999</v>
      </c>
      <c r="H6" s="45">
        <v>307.28500000000003</v>
      </c>
      <c r="I6" s="45">
        <v>321.2525</v>
      </c>
      <c r="J6" s="45">
        <v>265.38249999999999</v>
      </c>
      <c r="K6" s="44" t="s">
        <v>37</v>
      </c>
      <c r="L6" s="45">
        <v>12850.1</v>
      </c>
      <c r="M6" s="45">
        <v>282.5</v>
      </c>
      <c r="N6" s="47">
        <v>12995</v>
      </c>
      <c r="O6" s="69">
        <v>144.9</v>
      </c>
      <c r="P6" s="48">
        <v>1.1276E-2</v>
      </c>
      <c r="Q6" s="47">
        <v>642.51</v>
      </c>
      <c r="R6" s="47">
        <v>12207.59</v>
      </c>
      <c r="S6" s="49">
        <v>6.0593000000000001E-2</v>
      </c>
      <c r="T6" s="49">
        <v>4.8181000000000002E-2</v>
      </c>
      <c r="U6" s="50">
        <v>1.2</v>
      </c>
      <c r="V6" s="47">
        <v>771.01</v>
      </c>
      <c r="W6" s="51" t="s">
        <v>31</v>
      </c>
      <c r="X6" s="44" t="s">
        <v>38</v>
      </c>
      <c r="Y6" s="44" t="s">
        <v>37</v>
      </c>
      <c r="Z6" s="44" t="s">
        <v>33</v>
      </c>
    </row>
    <row r="7" spans="1:26" ht="19.95" customHeight="1" x14ac:dyDescent="0.3">
      <c r="A7" s="34" t="s">
        <v>52</v>
      </c>
      <c r="B7" s="35" t="s">
        <v>53</v>
      </c>
      <c r="C7" s="35" t="s">
        <v>53</v>
      </c>
      <c r="D7" s="36">
        <v>330.24</v>
      </c>
      <c r="E7" s="36">
        <v>1.72</v>
      </c>
      <c r="F7" s="37">
        <v>192</v>
      </c>
      <c r="G7" s="56">
        <v>1.82</v>
      </c>
      <c r="H7" s="56">
        <v>1.89</v>
      </c>
      <c r="I7" s="56">
        <v>1.98</v>
      </c>
      <c r="J7" s="56">
        <v>1.63</v>
      </c>
      <c r="K7" s="58" t="s">
        <v>37</v>
      </c>
      <c r="L7" s="36">
        <v>330.24</v>
      </c>
      <c r="M7" s="36">
        <v>1.82</v>
      </c>
      <c r="N7" s="56">
        <v>349.44</v>
      </c>
      <c r="O7" s="71">
        <v>19.2</v>
      </c>
      <c r="P7" s="61">
        <v>5.8139999999999997E-2</v>
      </c>
      <c r="Q7" s="56">
        <v>17.28</v>
      </c>
      <c r="R7" s="56">
        <v>312.95999999999998</v>
      </c>
      <c r="S7" s="61">
        <v>0.104396</v>
      </c>
      <c r="T7" s="61">
        <v>0</v>
      </c>
      <c r="U7" s="64">
        <v>1.1100000000000001</v>
      </c>
      <c r="V7" s="56">
        <v>19.18</v>
      </c>
      <c r="W7" s="58" t="s">
        <v>31</v>
      </c>
      <c r="X7" s="58" t="s">
        <v>38</v>
      </c>
      <c r="Y7" s="58" t="s">
        <v>37</v>
      </c>
      <c r="Z7" s="58"/>
    </row>
    <row r="8" spans="1:26" ht="19.95" customHeight="1" x14ac:dyDescent="0.3">
      <c r="A8" s="43" t="s">
        <v>56</v>
      </c>
      <c r="B8" s="44" t="s">
        <v>57</v>
      </c>
      <c r="C8" s="44" t="s">
        <v>58</v>
      </c>
      <c r="D8" s="45">
        <v>299.25</v>
      </c>
      <c r="E8" s="45">
        <v>11.97</v>
      </c>
      <c r="F8" s="46">
        <v>25</v>
      </c>
      <c r="G8" s="45">
        <v>42.457240000000013</v>
      </c>
      <c r="H8" s="45">
        <v>44.059399999999997</v>
      </c>
      <c r="I8" s="45">
        <v>46.062100000000001</v>
      </c>
      <c r="J8" s="45">
        <v>38.051299999999998</v>
      </c>
      <c r="K8" s="44" t="s">
        <v>30</v>
      </c>
      <c r="L8" s="45">
        <v>299.25</v>
      </c>
      <c r="M8" s="45">
        <v>40.28</v>
      </c>
      <c r="N8" s="47">
        <v>1007</v>
      </c>
      <c r="O8" s="69">
        <v>707.75</v>
      </c>
      <c r="P8" s="48">
        <v>2.3650790000000002</v>
      </c>
      <c r="Q8" s="47">
        <v>-652.03</v>
      </c>
      <c r="R8" s="47">
        <v>951.28</v>
      </c>
      <c r="S8" s="49">
        <v>5.5329999999999997E-2</v>
      </c>
      <c r="T8" s="49">
        <v>5.4052999999999997E-2</v>
      </c>
      <c r="U8" s="50">
        <v>0</v>
      </c>
      <c r="V8" s="47">
        <v>0</v>
      </c>
      <c r="W8" s="51" t="s">
        <v>59</v>
      </c>
      <c r="X8" s="44" t="s">
        <v>60</v>
      </c>
      <c r="Y8" s="44" t="s">
        <v>30</v>
      </c>
      <c r="Z8" s="44" t="s">
        <v>33</v>
      </c>
    </row>
    <row r="9" spans="1:26" ht="19.95" customHeight="1" x14ac:dyDescent="0.3">
      <c r="A9" s="34" t="s">
        <v>61</v>
      </c>
      <c r="B9" s="35" t="s">
        <v>45</v>
      </c>
      <c r="C9" s="35" t="s">
        <v>46</v>
      </c>
      <c r="D9" s="36">
        <v>14186.55</v>
      </c>
      <c r="E9" s="36">
        <v>16.03</v>
      </c>
      <c r="F9" s="37">
        <v>885</v>
      </c>
      <c r="G9" s="36">
        <v>16.991800000000001</v>
      </c>
      <c r="H9" s="36">
        <v>17.632999999999999</v>
      </c>
      <c r="I9" s="36">
        <v>18.4345</v>
      </c>
      <c r="J9" s="36">
        <v>15.2285</v>
      </c>
      <c r="K9" s="35" t="s">
        <v>47</v>
      </c>
      <c r="L9" s="36">
        <v>14186.55</v>
      </c>
      <c r="M9" s="36">
        <v>15.65</v>
      </c>
      <c r="N9" s="38">
        <v>13850.25</v>
      </c>
      <c r="O9" s="70">
        <v>-336.3</v>
      </c>
      <c r="P9" s="39">
        <v>-2.3706000000000001E-2</v>
      </c>
      <c r="Q9" s="38">
        <v>709.33</v>
      </c>
      <c r="R9" s="38">
        <v>13477.22</v>
      </c>
      <c r="S9" s="40">
        <v>2.6932999999999999E-2</v>
      </c>
      <c r="T9" s="40">
        <v>8.5737999999999995E-2</v>
      </c>
      <c r="U9" s="41">
        <v>1.2</v>
      </c>
      <c r="V9" s="38">
        <v>851.2</v>
      </c>
      <c r="W9" s="42" t="s">
        <v>31</v>
      </c>
      <c r="X9" s="35" t="s">
        <v>48</v>
      </c>
      <c r="Y9" s="35" t="s">
        <v>47</v>
      </c>
      <c r="Z9" s="35" t="s">
        <v>33</v>
      </c>
    </row>
    <row r="10" spans="1:26" x14ac:dyDescent="0.3">
      <c r="A10" s="43" t="s">
        <v>62</v>
      </c>
      <c r="B10" s="44" t="s">
        <v>45</v>
      </c>
      <c r="C10" s="44" t="s">
        <v>55</v>
      </c>
      <c r="D10" s="45">
        <v>5415.13</v>
      </c>
      <c r="E10" s="45">
        <v>25.77</v>
      </c>
      <c r="F10" s="46">
        <v>198</v>
      </c>
      <c r="G10" s="57">
        <v>28.991</v>
      </c>
      <c r="H10" s="57">
        <v>30.085000000000001</v>
      </c>
      <c r="I10" s="57">
        <v>31.452500000000001</v>
      </c>
      <c r="J10" s="57">
        <v>25.982500000000002</v>
      </c>
      <c r="K10" s="59" t="s">
        <v>37</v>
      </c>
      <c r="L10" s="45">
        <v>14085.25</v>
      </c>
      <c r="M10" s="52">
        <v>25.67</v>
      </c>
      <c r="N10" s="60">
        <v>13220.05</v>
      </c>
      <c r="O10" s="72">
        <v>-865.2</v>
      </c>
      <c r="P10" s="62">
        <v>-6.1426000000000001E-2</v>
      </c>
      <c r="Q10" s="60">
        <v>704.26</v>
      </c>
      <c r="R10" s="60">
        <v>13380.99</v>
      </c>
      <c r="S10" s="63">
        <v>-1.2174000000000001E-2</v>
      </c>
      <c r="T10" s="63">
        <v>0.12937299999999999</v>
      </c>
      <c r="U10" s="65">
        <v>1.2</v>
      </c>
      <c r="V10" s="60">
        <v>845.11</v>
      </c>
      <c r="W10" s="66" t="s">
        <v>42</v>
      </c>
      <c r="X10" s="59" t="s">
        <v>31</v>
      </c>
      <c r="Y10" s="59" t="s">
        <v>37</v>
      </c>
      <c r="Z10" s="59" t="s">
        <v>33</v>
      </c>
    </row>
    <row r="11" spans="1:26" x14ac:dyDescent="0.3">
      <c r="A11" s="43" t="s">
        <v>63</v>
      </c>
      <c r="B11" s="44" t="s">
        <v>64</v>
      </c>
      <c r="C11" s="44" t="s">
        <v>64</v>
      </c>
      <c r="D11" s="45">
        <v>79.709999999999994</v>
      </c>
      <c r="E11" s="45">
        <v>26.57</v>
      </c>
      <c r="F11" s="46">
        <v>3</v>
      </c>
      <c r="G11" s="53">
        <v>28.16</v>
      </c>
      <c r="H11" s="53">
        <v>29.23</v>
      </c>
      <c r="I11" s="53">
        <v>30.56</v>
      </c>
      <c r="J11" s="53">
        <v>25.24</v>
      </c>
      <c r="K11" t="s">
        <v>37</v>
      </c>
      <c r="L11" s="45">
        <v>79.709999999999994</v>
      </c>
      <c r="M11" s="52">
        <v>23.71</v>
      </c>
      <c r="N11" s="53">
        <v>71.13</v>
      </c>
      <c r="O11" s="73">
        <v>-8.58</v>
      </c>
      <c r="P11" s="54">
        <v>-0.10764</v>
      </c>
      <c r="Q11" s="53">
        <v>3.99</v>
      </c>
      <c r="R11" s="53">
        <v>75.72</v>
      </c>
      <c r="S11" s="54">
        <v>-6.4530000000000004E-2</v>
      </c>
      <c r="T11" s="54">
        <v>0.18768499999999999</v>
      </c>
      <c r="U11" s="55">
        <v>1.2</v>
      </c>
      <c r="V11" s="53">
        <v>4.79</v>
      </c>
      <c r="W11" t="s">
        <v>42</v>
      </c>
      <c r="X11" t="s">
        <v>38</v>
      </c>
      <c r="Y11" t="s">
        <v>37</v>
      </c>
    </row>
  </sheetData>
  <autoFilter ref="A2:Z2">
    <sortState ref="A3:Z14">
      <sortCondition ref="A2"/>
    </sortState>
  </autoFilter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C8CFF"/>
  </sheetPr>
  <dimension ref="A1:F12"/>
  <sheetViews>
    <sheetView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32" style="67" customWidth="1"/>
    <col min="2" max="2" width="14" style="67" customWidth="1"/>
    <col min="3" max="3" width="18" style="67" customWidth="1"/>
    <col min="4" max="4" width="15" style="67" customWidth="1"/>
    <col min="5" max="5" width="16" style="67" customWidth="1"/>
    <col min="6" max="6" width="14" style="67" customWidth="1"/>
  </cols>
  <sheetData>
    <row r="1" spans="1:6" ht="28.05" customHeight="1" x14ac:dyDescent="0.3">
      <c r="A1" s="76" t="s">
        <v>65</v>
      </c>
      <c r="B1" s="75"/>
      <c r="C1" s="75"/>
      <c r="D1" s="75"/>
      <c r="E1" s="75"/>
      <c r="F1" s="75"/>
    </row>
    <row r="2" spans="1:6" x14ac:dyDescent="0.3">
      <c r="A2" s="1" t="s">
        <v>66</v>
      </c>
      <c r="B2" s="1" t="s">
        <v>2</v>
      </c>
      <c r="C2" s="1" t="s">
        <v>3</v>
      </c>
      <c r="D2" s="1" t="s">
        <v>67</v>
      </c>
      <c r="E2" s="1" t="s">
        <v>24</v>
      </c>
      <c r="F2" s="1" t="s">
        <v>68</v>
      </c>
    </row>
    <row r="3" spans="1:6" x14ac:dyDescent="0.3">
      <c r="A3" s="9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69</v>
      </c>
    </row>
    <row r="4" spans="1:6" x14ac:dyDescent="0.3">
      <c r="A4" s="10" t="s">
        <v>50</v>
      </c>
      <c r="B4" s="5" t="s">
        <v>35</v>
      </c>
      <c r="C4" s="5" t="s">
        <v>51</v>
      </c>
      <c r="D4" s="5" t="s">
        <v>37</v>
      </c>
      <c r="E4" s="5" t="s">
        <v>38</v>
      </c>
      <c r="F4" s="5" t="s">
        <v>69</v>
      </c>
    </row>
    <row r="5" spans="1:6" x14ac:dyDescent="0.3">
      <c r="A5" s="9" t="s">
        <v>49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69</v>
      </c>
    </row>
    <row r="6" spans="1:6" x14ac:dyDescent="0.3">
      <c r="A6" s="10" t="s">
        <v>27</v>
      </c>
      <c r="B6" s="5" t="s">
        <v>28</v>
      </c>
      <c r="C6" s="5" t="s">
        <v>29</v>
      </c>
      <c r="D6" s="5" t="s">
        <v>30</v>
      </c>
      <c r="E6" s="5" t="s">
        <v>32</v>
      </c>
      <c r="F6" s="5" t="s">
        <v>70</v>
      </c>
    </row>
    <row r="7" spans="1:6" x14ac:dyDescent="0.3">
      <c r="A7" s="9" t="s">
        <v>39</v>
      </c>
      <c r="B7" s="2" t="s">
        <v>40</v>
      </c>
      <c r="C7" s="2" t="s">
        <v>41</v>
      </c>
      <c r="D7" s="2" t="s">
        <v>37</v>
      </c>
      <c r="E7" s="2" t="s">
        <v>43</v>
      </c>
      <c r="F7" s="2" t="s">
        <v>71</v>
      </c>
    </row>
    <row r="8" spans="1:6" x14ac:dyDescent="0.3">
      <c r="A8" s="10" t="s">
        <v>56</v>
      </c>
      <c r="B8" s="5" t="s">
        <v>57</v>
      </c>
      <c r="C8" s="5" t="s">
        <v>58</v>
      </c>
      <c r="D8" s="5" t="s">
        <v>30</v>
      </c>
      <c r="E8" s="5" t="s">
        <v>60</v>
      </c>
      <c r="F8" s="5" t="s">
        <v>70</v>
      </c>
    </row>
    <row r="9" spans="1:6" x14ac:dyDescent="0.3">
      <c r="A9" s="9" t="s">
        <v>61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70</v>
      </c>
    </row>
    <row r="10" spans="1:6" x14ac:dyDescent="0.3">
      <c r="A10" s="10" t="s">
        <v>72</v>
      </c>
      <c r="B10" s="5" t="s">
        <v>45</v>
      </c>
      <c r="C10" s="5" t="s">
        <v>55</v>
      </c>
      <c r="D10" s="5" t="s">
        <v>37</v>
      </c>
      <c r="E10" s="5" t="s">
        <v>48</v>
      </c>
      <c r="F10" s="5" t="s">
        <v>70</v>
      </c>
    </row>
    <row r="11" spans="1:6" x14ac:dyDescent="0.3">
      <c r="A11" s="9" t="s">
        <v>44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70</v>
      </c>
    </row>
    <row r="12" spans="1:6" x14ac:dyDescent="0.3">
      <c r="A12" s="10" t="s">
        <v>54</v>
      </c>
      <c r="B12" s="5" t="s">
        <v>45</v>
      </c>
      <c r="C12" s="5" t="s">
        <v>55</v>
      </c>
      <c r="D12" s="5" t="s">
        <v>37</v>
      </c>
      <c r="E12" s="5" t="s">
        <v>48</v>
      </c>
      <c r="F12" s="5" t="s">
        <v>70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B341"/>
  </sheetPr>
  <dimension ref="A1:F5"/>
  <sheetViews>
    <sheetView workbookViewId="0">
      <selection sqref="A1:F1"/>
    </sheetView>
  </sheetViews>
  <sheetFormatPr defaultRowHeight="14.4" x14ac:dyDescent="0.3"/>
  <cols>
    <col min="1" max="1" width="14" style="67" customWidth="1"/>
    <col min="2" max="3" width="15" style="67" customWidth="1"/>
    <col min="4" max="4" width="16" style="67" customWidth="1"/>
    <col min="5" max="5" width="26" style="67" customWidth="1"/>
    <col min="6" max="6" width="14" style="67" customWidth="1"/>
  </cols>
  <sheetData>
    <row r="1" spans="1:6" ht="28.05" customHeight="1" x14ac:dyDescent="0.3">
      <c r="A1" s="77" t="s">
        <v>73</v>
      </c>
      <c r="B1" s="75"/>
      <c r="C1" s="75"/>
      <c r="D1" s="75"/>
      <c r="E1" s="75"/>
      <c r="F1" s="75"/>
    </row>
    <row r="2" spans="1:6" x14ac:dyDescent="0.3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  <c r="F2" s="1" t="s">
        <v>79</v>
      </c>
    </row>
    <row r="3" spans="1:6" x14ac:dyDescent="0.3">
      <c r="A3" s="11" t="s">
        <v>80</v>
      </c>
      <c r="B3" s="4">
        <v>0.08</v>
      </c>
      <c r="C3" s="4">
        <v>0.06</v>
      </c>
      <c r="D3" s="4">
        <v>-0.02</v>
      </c>
      <c r="E3" s="3">
        <v>105685.614</v>
      </c>
      <c r="F3" s="12">
        <v>30</v>
      </c>
    </row>
    <row r="4" spans="1:6" x14ac:dyDescent="0.3">
      <c r="A4" s="13" t="s">
        <v>81</v>
      </c>
      <c r="B4" s="7">
        <v>0.02</v>
      </c>
      <c r="C4" s="7">
        <v>0.02</v>
      </c>
      <c r="D4" s="7">
        <v>0</v>
      </c>
      <c r="E4" s="6">
        <v>99814.191000000006</v>
      </c>
      <c r="F4" s="14">
        <v>40</v>
      </c>
    </row>
    <row r="5" spans="1:6" x14ac:dyDescent="0.3">
      <c r="A5" s="8" t="s">
        <v>82</v>
      </c>
      <c r="B5" s="4">
        <v>-0.05</v>
      </c>
      <c r="C5" s="4">
        <v>-0.03</v>
      </c>
      <c r="D5" s="4">
        <v>-0.04</v>
      </c>
      <c r="E5" s="3">
        <v>92964.197499999995</v>
      </c>
      <c r="F5" s="12">
        <v>30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B950"/>
  </sheetPr>
  <dimension ref="A1:F52"/>
  <sheetViews>
    <sheetView workbookViewId="0">
      <pane ySplit="2" topLeftCell="A35" activePane="bottomLeft" state="frozen"/>
      <selection pane="bottomLeft" activeCell="E37" sqref="E37"/>
    </sheetView>
  </sheetViews>
  <sheetFormatPr defaultRowHeight="14.4" x14ac:dyDescent="0.3"/>
  <cols>
    <col min="1" max="1" width="12" style="67" customWidth="1"/>
    <col min="2" max="2" width="14" style="67" customWidth="1"/>
    <col min="3" max="3" width="30" style="67" customWidth="1"/>
    <col min="4" max="4" width="15" style="67" customWidth="1"/>
    <col min="5" max="5" width="16" style="67" customWidth="1"/>
    <col min="6" max="6" width="20" style="67" customWidth="1"/>
  </cols>
  <sheetData>
    <row r="1" spans="1:6" ht="28.05" customHeight="1" x14ac:dyDescent="0.3">
      <c r="A1" s="78" t="s">
        <v>83</v>
      </c>
      <c r="B1" s="75"/>
      <c r="C1" s="75"/>
      <c r="D1" s="75"/>
      <c r="E1" s="75"/>
      <c r="F1" s="75"/>
    </row>
    <row r="2" spans="1:6" x14ac:dyDescent="0.3">
      <c r="A2" s="1" t="s">
        <v>84</v>
      </c>
      <c r="B2" s="1" t="s">
        <v>26</v>
      </c>
      <c r="C2" s="1" t="s">
        <v>1</v>
      </c>
      <c r="D2" s="1" t="s">
        <v>13</v>
      </c>
      <c r="E2" s="1" t="s">
        <v>85</v>
      </c>
      <c r="F2" s="1" t="s">
        <v>86</v>
      </c>
    </row>
    <row r="3" spans="1:6" x14ac:dyDescent="0.3">
      <c r="A3" s="2" t="s">
        <v>87</v>
      </c>
      <c r="B3" s="15">
        <v>46083</v>
      </c>
      <c r="C3" s="2" t="s">
        <v>34</v>
      </c>
      <c r="D3" s="2"/>
      <c r="E3" s="2"/>
      <c r="F3" s="2"/>
    </row>
    <row r="4" spans="1:6" x14ac:dyDescent="0.3">
      <c r="A4" s="5" t="s">
        <v>87</v>
      </c>
      <c r="B4" s="16">
        <v>46083</v>
      </c>
      <c r="C4" s="5" t="s">
        <v>50</v>
      </c>
      <c r="D4" s="5"/>
      <c r="E4" s="5"/>
      <c r="F4" s="5"/>
    </row>
    <row r="5" spans="1:6" x14ac:dyDescent="0.3">
      <c r="A5" s="2" t="s">
        <v>87</v>
      </c>
      <c r="B5" s="15">
        <v>46083</v>
      </c>
      <c r="C5" s="2" t="s">
        <v>49</v>
      </c>
      <c r="D5" s="2"/>
      <c r="E5" s="2"/>
      <c r="F5" s="2"/>
    </row>
    <row r="6" spans="1:6" x14ac:dyDescent="0.3">
      <c r="A6" s="5" t="s">
        <v>87</v>
      </c>
      <c r="B6" s="16">
        <v>46083</v>
      </c>
      <c r="C6" s="5" t="s">
        <v>27</v>
      </c>
      <c r="D6" s="5"/>
      <c r="E6" s="5"/>
      <c r="F6" s="5"/>
    </row>
    <row r="7" spans="1:6" x14ac:dyDescent="0.3">
      <c r="A7" s="2" t="s">
        <v>87</v>
      </c>
      <c r="B7" s="15">
        <v>46083</v>
      </c>
      <c r="C7" s="2" t="s">
        <v>39</v>
      </c>
      <c r="D7" s="2"/>
      <c r="E7" s="2"/>
      <c r="F7" s="2"/>
    </row>
    <row r="8" spans="1:6" x14ac:dyDescent="0.3">
      <c r="A8" s="5" t="s">
        <v>87</v>
      </c>
      <c r="B8" s="16">
        <v>46083</v>
      </c>
      <c r="C8" s="5" t="s">
        <v>56</v>
      </c>
      <c r="D8" s="5"/>
      <c r="E8" s="5"/>
      <c r="F8" s="5"/>
    </row>
    <row r="9" spans="1:6" x14ac:dyDescent="0.3">
      <c r="A9" s="2" t="s">
        <v>87</v>
      </c>
      <c r="B9" s="15">
        <v>46083</v>
      </c>
      <c r="C9" s="2" t="s">
        <v>61</v>
      </c>
      <c r="D9" s="2"/>
      <c r="E9" s="2"/>
      <c r="F9" s="2"/>
    </row>
    <row r="10" spans="1:6" x14ac:dyDescent="0.3">
      <c r="A10" s="5" t="s">
        <v>87</v>
      </c>
      <c r="B10" s="16">
        <v>46083</v>
      </c>
      <c r="C10" s="5" t="s">
        <v>62</v>
      </c>
      <c r="D10" s="5"/>
      <c r="E10" s="5"/>
      <c r="F10" s="5"/>
    </row>
    <row r="11" spans="1:6" x14ac:dyDescent="0.3">
      <c r="A11" s="2" t="s">
        <v>87</v>
      </c>
      <c r="B11" s="15">
        <v>46083</v>
      </c>
      <c r="C11" s="2" t="s">
        <v>44</v>
      </c>
      <c r="D11" s="2"/>
      <c r="E11" s="2"/>
      <c r="F11" s="2"/>
    </row>
    <row r="12" spans="1:6" x14ac:dyDescent="0.3">
      <c r="A12" s="5" t="s">
        <v>87</v>
      </c>
      <c r="B12" s="16">
        <v>46083</v>
      </c>
      <c r="C12" s="5" t="s">
        <v>54</v>
      </c>
      <c r="D12" s="5"/>
      <c r="E12" s="5"/>
      <c r="F12" s="5"/>
    </row>
    <row r="13" spans="1:6" x14ac:dyDescent="0.3">
      <c r="A13" s="2" t="s">
        <v>88</v>
      </c>
      <c r="B13" s="15">
        <v>46084</v>
      </c>
      <c r="C13" s="2" t="s">
        <v>34</v>
      </c>
      <c r="D13" s="2"/>
      <c r="E13" s="2"/>
      <c r="F13" s="2"/>
    </row>
    <row r="14" spans="1:6" x14ac:dyDescent="0.3">
      <c r="A14" s="5" t="s">
        <v>88</v>
      </c>
      <c r="B14" s="16">
        <v>46084</v>
      </c>
      <c r="C14" s="5" t="s">
        <v>50</v>
      </c>
      <c r="D14" s="5"/>
      <c r="E14" s="5"/>
      <c r="F14" s="5"/>
    </row>
    <row r="15" spans="1:6" x14ac:dyDescent="0.3">
      <c r="A15" s="2" t="s">
        <v>88</v>
      </c>
      <c r="B15" s="15">
        <v>46084</v>
      </c>
      <c r="C15" s="2" t="s">
        <v>49</v>
      </c>
      <c r="D15" s="2"/>
      <c r="E15" s="2"/>
      <c r="F15" s="2"/>
    </row>
    <row r="16" spans="1:6" x14ac:dyDescent="0.3">
      <c r="A16" s="5" t="s">
        <v>88</v>
      </c>
      <c r="B16" s="16">
        <v>46084</v>
      </c>
      <c r="C16" s="5" t="s">
        <v>27</v>
      </c>
      <c r="D16" s="5"/>
      <c r="E16" s="5"/>
      <c r="F16" s="5"/>
    </row>
    <row r="17" spans="1:6" x14ac:dyDescent="0.3">
      <c r="A17" s="2" t="s">
        <v>88</v>
      </c>
      <c r="B17" s="15">
        <v>46084</v>
      </c>
      <c r="C17" s="2" t="s">
        <v>39</v>
      </c>
      <c r="D17" s="2"/>
      <c r="E17" s="2"/>
      <c r="F17" s="2"/>
    </row>
    <row r="18" spans="1:6" x14ac:dyDescent="0.3">
      <c r="A18" s="5" t="s">
        <v>88</v>
      </c>
      <c r="B18" s="16">
        <v>46084</v>
      </c>
      <c r="C18" s="5" t="s">
        <v>56</v>
      </c>
      <c r="D18" s="5"/>
      <c r="E18" s="5"/>
      <c r="F18" s="5"/>
    </row>
    <row r="19" spans="1:6" x14ac:dyDescent="0.3">
      <c r="A19" s="2" t="s">
        <v>88</v>
      </c>
      <c r="B19" s="15">
        <v>46084</v>
      </c>
      <c r="C19" s="2" t="s">
        <v>61</v>
      </c>
      <c r="D19" s="2"/>
      <c r="E19" s="2"/>
      <c r="F19" s="2"/>
    </row>
    <row r="20" spans="1:6" x14ac:dyDescent="0.3">
      <c r="A20" s="5" t="s">
        <v>88</v>
      </c>
      <c r="B20" s="16">
        <v>46084</v>
      </c>
      <c r="C20" s="5" t="s">
        <v>62</v>
      </c>
      <c r="D20" s="5"/>
      <c r="E20" s="5"/>
      <c r="F20" s="5"/>
    </row>
    <row r="21" spans="1:6" x14ac:dyDescent="0.3">
      <c r="A21" s="2" t="s">
        <v>88</v>
      </c>
      <c r="B21" s="15">
        <v>46084</v>
      </c>
      <c r="C21" s="2" t="s">
        <v>44</v>
      </c>
      <c r="D21" s="2"/>
      <c r="E21" s="2"/>
      <c r="F21" s="2"/>
    </row>
    <row r="22" spans="1:6" x14ac:dyDescent="0.3">
      <c r="A22" s="5" t="s">
        <v>88</v>
      </c>
      <c r="B22" s="16">
        <v>46084</v>
      </c>
      <c r="C22" s="5" t="s">
        <v>54</v>
      </c>
      <c r="D22" s="5"/>
      <c r="E22" s="5"/>
      <c r="F22" s="5"/>
    </row>
    <row r="23" spans="1:6" x14ac:dyDescent="0.3">
      <c r="A23" s="2" t="s">
        <v>89</v>
      </c>
      <c r="B23" s="15">
        <v>46085</v>
      </c>
      <c r="C23" s="2" t="s">
        <v>34</v>
      </c>
      <c r="D23" s="2"/>
      <c r="E23" s="2"/>
      <c r="F23" s="2"/>
    </row>
    <row r="24" spans="1:6" x14ac:dyDescent="0.3">
      <c r="A24" s="5" t="s">
        <v>89</v>
      </c>
      <c r="B24" s="16">
        <v>46085</v>
      </c>
      <c r="C24" s="5" t="s">
        <v>50</v>
      </c>
      <c r="D24" s="5"/>
      <c r="E24" s="5"/>
      <c r="F24" s="5"/>
    </row>
    <row r="25" spans="1:6" x14ac:dyDescent="0.3">
      <c r="A25" s="2" t="s">
        <v>89</v>
      </c>
      <c r="B25" s="15">
        <v>46085</v>
      </c>
      <c r="C25" s="2" t="s">
        <v>49</v>
      </c>
      <c r="D25" s="2"/>
      <c r="E25" s="2"/>
      <c r="F25" s="2"/>
    </row>
    <row r="26" spans="1:6" x14ac:dyDescent="0.3">
      <c r="A26" s="5" t="s">
        <v>89</v>
      </c>
      <c r="B26" s="16">
        <v>46085</v>
      </c>
      <c r="C26" s="5" t="s">
        <v>27</v>
      </c>
      <c r="D26" s="5"/>
      <c r="E26" s="5"/>
      <c r="F26" s="5"/>
    </row>
    <row r="27" spans="1:6" x14ac:dyDescent="0.3">
      <c r="A27" s="2" t="s">
        <v>89</v>
      </c>
      <c r="B27" s="15">
        <v>46085</v>
      </c>
      <c r="C27" s="2" t="s">
        <v>39</v>
      </c>
      <c r="D27" s="2"/>
      <c r="E27" s="2"/>
      <c r="F27" s="2"/>
    </row>
    <row r="28" spans="1:6" x14ac:dyDescent="0.3">
      <c r="A28" s="5" t="s">
        <v>89</v>
      </c>
      <c r="B28" s="16">
        <v>46085</v>
      </c>
      <c r="C28" s="5" t="s">
        <v>56</v>
      </c>
      <c r="D28" s="5"/>
      <c r="E28" s="5"/>
      <c r="F28" s="5"/>
    </row>
    <row r="29" spans="1:6" x14ac:dyDescent="0.3">
      <c r="A29" s="2" t="s">
        <v>89</v>
      </c>
      <c r="B29" s="15">
        <v>46085</v>
      </c>
      <c r="C29" s="2" t="s">
        <v>61</v>
      </c>
      <c r="D29" s="2"/>
      <c r="E29" s="2"/>
      <c r="F29" s="2"/>
    </row>
    <row r="30" spans="1:6" x14ac:dyDescent="0.3">
      <c r="A30" s="5" t="s">
        <v>89</v>
      </c>
      <c r="B30" s="16">
        <v>46085</v>
      </c>
      <c r="C30" s="5" t="s">
        <v>62</v>
      </c>
      <c r="D30" s="5"/>
      <c r="E30" s="5"/>
      <c r="F30" s="5"/>
    </row>
    <row r="31" spans="1:6" x14ac:dyDescent="0.3">
      <c r="A31" s="2" t="s">
        <v>89</v>
      </c>
      <c r="B31" s="15">
        <v>46085</v>
      </c>
      <c r="C31" s="2" t="s">
        <v>44</v>
      </c>
      <c r="D31" s="2"/>
      <c r="E31" s="2"/>
      <c r="F31" s="2"/>
    </row>
    <row r="32" spans="1:6" x14ac:dyDescent="0.3">
      <c r="A32" s="5" t="s">
        <v>89</v>
      </c>
      <c r="B32" s="16">
        <v>46085</v>
      </c>
      <c r="C32" s="5" t="s">
        <v>54</v>
      </c>
      <c r="D32" s="5"/>
      <c r="E32" s="5"/>
      <c r="F32" s="5"/>
    </row>
    <row r="33" spans="1:6" x14ac:dyDescent="0.3">
      <c r="A33" s="2" t="s">
        <v>90</v>
      </c>
      <c r="B33" s="15">
        <v>46086</v>
      </c>
      <c r="C33" s="2" t="s">
        <v>34</v>
      </c>
      <c r="D33" s="2"/>
      <c r="E33" s="2"/>
      <c r="F33" s="2"/>
    </row>
    <row r="34" spans="1:6" x14ac:dyDescent="0.3">
      <c r="A34" s="5" t="s">
        <v>90</v>
      </c>
      <c r="B34" s="16">
        <v>46086</v>
      </c>
      <c r="C34" s="5" t="s">
        <v>50</v>
      </c>
      <c r="D34" s="5"/>
      <c r="E34" s="5"/>
      <c r="F34" s="5"/>
    </row>
    <row r="35" spans="1:6" x14ac:dyDescent="0.3">
      <c r="A35" s="2" t="s">
        <v>90</v>
      </c>
      <c r="B35" s="15">
        <v>46086</v>
      </c>
      <c r="C35" s="2" t="s">
        <v>49</v>
      </c>
      <c r="D35" s="2"/>
      <c r="E35" s="2"/>
      <c r="F35" s="2"/>
    </row>
    <row r="36" spans="1:6" x14ac:dyDescent="0.3">
      <c r="A36" s="5" t="s">
        <v>90</v>
      </c>
      <c r="B36" s="16">
        <v>46086</v>
      </c>
      <c r="C36" s="5" t="s">
        <v>27</v>
      </c>
      <c r="D36" s="5"/>
      <c r="E36" s="5"/>
      <c r="F36" s="5"/>
    </row>
    <row r="37" spans="1:6" x14ac:dyDescent="0.3">
      <c r="A37" s="2" t="s">
        <v>90</v>
      </c>
      <c r="B37" s="15">
        <v>46086</v>
      </c>
      <c r="C37" s="2" t="s">
        <v>39</v>
      </c>
      <c r="D37" s="2"/>
      <c r="E37" s="2"/>
      <c r="F37" s="2"/>
    </row>
    <row r="38" spans="1:6" x14ac:dyDescent="0.3">
      <c r="A38" s="5" t="s">
        <v>90</v>
      </c>
      <c r="B38" s="16">
        <v>46086</v>
      </c>
      <c r="C38" s="5" t="s">
        <v>56</v>
      </c>
      <c r="D38" s="5"/>
      <c r="E38" s="5"/>
      <c r="F38" s="5"/>
    </row>
    <row r="39" spans="1:6" x14ac:dyDescent="0.3">
      <c r="A39" s="2" t="s">
        <v>90</v>
      </c>
      <c r="B39" s="15">
        <v>46086</v>
      </c>
      <c r="C39" s="2" t="s">
        <v>61</v>
      </c>
      <c r="D39" s="2"/>
      <c r="E39" s="2"/>
      <c r="F39" s="2"/>
    </row>
    <row r="40" spans="1:6" x14ac:dyDescent="0.3">
      <c r="A40" s="5" t="s">
        <v>90</v>
      </c>
      <c r="B40" s="16">
        <v>46086</v>
      </c>
      <c r="C40" s="5" t="s">
        <v>62</v>
      </c>
      <c r="D40" s="5"/>
      <c r="E40" s="5"/>
      <c r="F40" s="5"/>
    </row>
    <row r="41" spans="1:6" x14ac:dyDescent="0.3">
      <c r="A41" s="2" t="s">
        <v>90</v>
      </c>
      <c r="B41" s="15">
        <v>46086</v>
      </c>
      <c r="C41" s="2" t="s">
        <v>44</v>
      </c>
      <c r="D41" s="2"/>
      <c r="E41" s="2"/>
      <c r="F41" s="2"/>
    </row>
    <row r="42" spans="1:6" x14ac:dyDescent="0.3">
      <c r="A42" s="5" t="s">
        <v>90</v>
      </c>
      <c r="B42" s="16">
        <v>46086</v>
      </c>
      <c r="C42" s="5" t="s">
        <v>54</v>
      </c>
      <c r="D42" s="5"/>
      <c r="E42" s="5"/>
      <c r="F42" s="5"/>
    </row>
    <row r="43" spans="1:6" x14ac:dyDescent="0.3">
      <c r="A43" s="2" t="s">
        <v>91</v>
      </c>
      <c r="B43" s="15">
        <v>46087</v>
      </c>
      <c r="C43" s="2" t="s">
        <v>34</v>
      </c>
      <c r="D43" s="2"/>
      <c r="E43" s="2"/>
      <c r="F43" s="2"/>
    </row>
    <row r="44" spans="1:6" x14ac:dyDescent="0.3">
      <c r="A44" s="5" t="s">
        <v>91</v>
      </c>
      <c r="B44" s="16">
        <v>46087</v>
      </c>
      <c r="C44" s="5" t="s">
        <v>50</v>
      </c>
      <c r="D44" s="5"/>
      <c r="E44" s="5"/>
      <c r="F44" s="5"/>
    </row>
    <row r="45" spans="1:6" x14ac:dyDescent="0.3">
      <c r="A45" s="2" t="s">
        <v>91</v>
      </c>
      <c r="B45" s="15">
        <v>46087</v>
      </c>
      <c r="C45" s="2" t="s">
        <v>49</v>
      </c>
      <c r="D45" s="2"/>
      <c r="E45" s="2"/>
      <c r="F45" s="2"/>
    </row>
    <row r="46" spans="1:6" x14ac:dyDescent="0.3">
      <c r="A46" s="5" t="s">
        <v>91</v>
      </c>
      <c r="B46" s="16">
        <v>46087</v>
      </c>
      <c r="C46" s="5" t="s">
        <v>27</v>
      </c>
      <c r="D46" s="5"/>
      <c r="E46" s="5"/>
      <c r="F46" s="5"/>
    </row>
    <row r="47" spans="1:6" x14ac:dyDescent="0.3">
      <c r="A47" s="2" t="s">
        <v>91</v>
      </c>
      <c r="B47" s="15">
        <v>46087</v>
      </c>
      <c r="C47" s="2" t="s">
        <v>39</v>
      </c>
      <c r="D47" s="2"/>
      <c r="E47" s="2"/>
      <c r="F47" s="2"/>
    </row>
    <row r="48" spans="1:6" x14ac:dyDescent="0.3">
      <c r="A48" s="5" t="s">
        <v>91</v>
      </c>
      <c r="B48" s="16">
        <v>46087</v>
      </c>
      <c r="C48" s="5" t="s">
        <v>56</v>
      </c>
      <c r="D48" s="5"/>
      <c r="E48" s="5"/>
      <c r="F48" s="5"/>
    </row>
    <row r="49" spans="1:6" x14ac:dyDescent="0.3">
      <c r="A49" s="2" t="s">
        <v>91</v>
      </c>
      <c r="B49" s="15">
        <v>46087</v>
      </c>
      <c r="C49" s="2" t="s">
        <v>61</v>
      </c>
      <c r="D49" s="2"/>
      <c r="E49" s="2"/>
      <c r="F49" s="2"/>
    </row>
    <row r="50" spans="1:6" x14ac:dyDescent="0.3">
      <c r="A50" s="5" t="s">
        <v>91</v>
      </c>
      <c r="B50" s="16">
        <v>46087</v>
      </c>
      <c r="C50" s="5" t="s">
        <v>62</v>
      </c>
      <c r="D50" s="5"/>
      <c r="E50" s="5"/>
      <c r="F50" s="5"/>
    </row>
    <row r="51" spans="1:6" x14ac:dyDescent="0.3">
      <c r="A51" s="2" t="s">
        <v>91</v>
      </c>
      <c r="B51" s="15">
        <v>46087</v>
      </c>
      <c r="C51" s="2" t="s">
        <v>44</v>
      </c>
      <c r="D51" s="2"/>
      <c r="E51" s="2"/>
      <c r="F51" s="2"/>
    </row>
    <row r="52" spans="1:6" x14ac:dyDescent="0.3">
      <c r="A52" s="5" t="s">
        <v>91</v>
      </c>
      <c r="B52" s="16">
        <v>46087</v>
      </c>
      <c r="C52" s="5" t="s">
        <v>54</v>
      </c>
      <c r="D52" s="5"/>
      <c r="E52" s="5"/>
      <c r="F52" s="5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85149"/>
  </sheetPr>
  <dimension ref="A1:C15"/>
  <sheetViews>
    <sheetView workbookViewId="0">
      <selection activeCell="B15" sqref="B15"/>
    </sheetView>
  </sheetViews>
  <sheetFormatPr defaultRowHeight="14.4" x14ac:dyDescent="0.3"/>
  <cols>
    <col min="1" max="1" width="35" style="67" customWidth="1"/>
    <col min="2" max="2" width="22" style="67" customWidth="1"/>
    <col min="3" max="3" width="18" style="67" customWidth="1"/>
  </cols>
  <sheetData>
    <row r="1" spans="1:3" ht="28.05" customHeight="1" x14ac:dyDescent="0.3">
      <c r="A1" s="79" t="s">
        <v>92</v>
      </c>
      <c r="B1" s="75"/>
      <c r="C1" s="75"/>
    </row>
    <row r="2" spans="1:3" x14ac:dyDescent="0.3">
      <c r="A2" s="1" t="s">
        <v>93</v>
      </c>
      <c r="B2" s="1" t="s">
        <v>94</v>
      </c>
      <c r="C2" s="1" t="s">
        <v>95</v>
      </c>
    </row>
    <row r="3" spans="1:3" x14ac:dyDescent="0.3">
      <c r="A3" s="17" t="s">
        <v>96</v>
      </c>
      <c r="B3" s="18">
        <v>100000</v>
      </c>
      <c r="C3" s="2" t="s">
        <v>97</v>
      </c>
    </row>
    <row r="4" spans="1:3" x14ac:dyDescent="0.3">
      <c r="A4" s="19" t="s">
        <v>98</v>
      </c>
      <c r="B4" s="20">
        <v>97857.05</v>
      </c>
      <c r="C4" s="5" t="s">
        <v>97</v>
      </c>
    </row>
    <row r="5" spans="1:3" x14ac:dyDescent="0.3">
      <c r="A5" s="17" t="s">
        <v>99</v>
      </c>
      <c r="B5" s="18">
        <v>98343.31</v>
      </c>
      <c r="C5" s="2" t="s">
        <v>97</v>
      </c>
    </row>
    <row r="6" spans="1:3" x14ac:dyDescent="0.3">
      <c r="A6" s="19" t="s">
        <v>100</v>
      </c>
      <c r="B6" s="21">
        <v>486.26</v>
      </c>
      <c r="C6" s="5" t="s">
        <v>97</v>
      </c>
    </row>
    <row r="7" spans="1:3" x14ac:dyDescent="0.3">
      <c r="A7" s="17" t="s">
        <v>101</v>
      </c>
      <c r="B7" s="22">
        <v>0.49690000000000001</v>
      </c>
      <c r="C7" s="23" t="s">
        <v>102</v>
      </c>
    </row>
    <row r="8" spans="1:3" x14ac:dyDescent="0.3">
      <c r="A8" s="19" t="s">
        <v>103</v>
      </c>
      <c r="B8" s="20">
        <v>4892.8500000000004</v>
      </c>
      <c r="C8" s="5" t="s">
        <v>97</v>
      </c>
    </row>
    <row r="9" spans="1:3" x14ac:dyDescent="0.3">
      <c r="A9" s="17" t="s">
        <v>104</v>
      </c>
      <c r="B9" s="18">
        <v>92964.2</v>
      </c>
      <c r="C9" s="2" t="s">
        <v>97</v>
      </c>
    </row>
    <row r="10" spans="1:3" x14ac:dyDescent="0.3">
      <c r="A10" s="19" t="s">
        <v>105</v>
      </c>
      <c r="B10" s="24">
        <v>5</v>
      </c>
      <c r="C10" s="25" t="s">
        <v>106</v>
      </c>
    </row>
    <row r="11" spans="1:3" x14ac:dyDescent="0.3">
      <c r="A11" s="17" t="s">
        <v>107</v>
      </c>
      <c r="B11" s="26">
        <v>5</v>
      </c>
      <c r="C11" s="27" t="s">
        <v>106</v>
      </c>
    </row>
    <row r="12" spans="1:3" x14ac:dyDescent="0.3">
      <c r="A12" s="19" t="s">
        <v>108</v>
      </c>
      <c r="B12" s="28" t="s">
        <v>106</v>
      </c>
      <c r="C12" s="25" t="s">
        <v>106</v>
      </c>
    </row>
    <row r="13" spans="1:3" x14ac:dyDescent="0.3">
      <c r="A13" s="17" t="s">
        <v>109</v>
      </c>
      <c r="B13" s="29" t="s">
        <v>110</v>
      </c>
      <c r="C13" s="2" t="s">
        <v>110</v>
      </c>
    </row>
    <row r="14" spans="1:3" x14ac:dyDescent="0.3">
      <c r="A14" s="19" t="s">
        <v>111</v>
      </c>
      <c r="B14" s="28">
        <v>10</v>
      </c>
      <c r="C14" s="5" t="s">
        <v>97</v>
      </c>
    </row>
    <row r="15" spans="1:3" x14ac:dyDescent="0.3">
      <c r="A15" s="17" t="s">
        <v>112</v>
      </c>
      <c r="B15" s="29">
        <v>2142.9499999999998</v>
      </c>
      <c r="C15" s="2" t="s">
        <v>97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B341"/>
  </sheetPr>
  <dimension ref="A1:G12"/>
  <sheetViews>
    <sheetView topLeftCell="A59" zoomScale="95" zoomScaleNormal="49" workbookViewId="0">
      <selection activeCell="B7" sqref="B7"/>
    </sheetView>
  </sheetViews>
  <sheetFormatPr defaultRowHeight="14.4" x14ac:dyDescent="0.3"/>
  <cols>
    <col min="1" max="1" width="30" style="67" customWidth="1"/>
    <col min="2" max="7" width="12" style="67" customWidth="1"/>
  </cols>
  <sheetData>
    <row r="1" spans="1:7" ht="28.05" customHeight="1" x14ac:dyDescent="0.3">
      <c r="A1" s="77" t="s">
        <v>113</v>
      </c>
      <c r="B1" s="75"/>
      <c r="C1" s="75"/>
      <c r="D1" s="75"/>
      <c r="E1" s="75"/>
      <c r="F1" s="75"/>
      <c r="G1" s="75"/>
    </row>
    <row r="2" spans="1:7" x14ac:dyDescent="0.3">
      <c r="A2" s="1" t="s">
        <v>1</v>
      </c>
      <c r="B2" s="1" t="s">
        <v>114</v>
      </c>
      <c r="C2" s="1" t="s">
        <v>115</v>
      </c>
      <c r="D2" s="1" t="s">
        <v>10</v>
      </c>
      <c r="E2" s="1" t="s">
        <v>7</v>
      </c>
      <c r="F2" s="1" t="s">
        <v>8</v>
      </c>
      <c r="G2" s="1" t="s">
        <v>9</v>
      </c>
    </row>
    <row r="3" spans="1:7" x14ac:dyDescent="0.3">
      <c r="A3" s="30" t="s">
        <v>34</v>
      </c>
      <c r="B3" s="3">
        <v>372.45</v>
      </c>
      <c r="C3" s="3">
        <v>370</v>
      </c>
      <c r="D3" s="3">
        <v>353.82749999999999</v>
      </c>
      <c r="E3" s="3">
        <v>394.79700000000003</v>
      </c>
      <c r="F3" s="3">
        <v>409.69499999999999</v>
      </c>
      <c r="G3" s="3">
        <v>428.31749999999988</v>
      </c>
    </row>
    <row r="4" spans="1:7" x14ac:dyDescent="0.3">
      <c r="A4" s="31" t="s">
        <v>50</v>
      </c>
      <c r="B4" s="6">
        <v>279.35000000000002</v>
      </c>
      <c r="C4" s="6">
        <v>281.75</v>
      </c>
      <c r="D4" s="6">
        <v>265.38249999999999</v>
      </c>
      <c r="E4" s="6">
        <v>296.11099999999999</v>
      </c>
      <c r="F4" s="6">
        <v>307.28500000000003</v>
      </c>
      <c r="G4" s="6">
        <v>321.2525</v>
      </c>
    </row>
    <row r="5" spans="1:7" x14ac:dyDescent="0.3">
      <c r="A5" s="30" t="s">
        <v>49</v>
      </c>
      <c r="B5" s="3">
        <v>179.8</v>
      </c>
      <c r="C5" s="3">
        <v>177.17</v>
      </c>
      <c r="D5" s="3">
        <v>170.81</v>
      </c>
      <c r="E5" s="3">
        <v>190.58799999999999</v>
      </c>
      <c r="F5" s="3">
        <v>197.78</v>
      </c>
      <c r="G5" s="3">
        <v>206.77</v>
      </c>
    </row>
    <row r="6" spans="1:7" x14ac:dyDescent="0.3">
      <c r="A6" s="31" t="s">
        <v>27</v>
      </c>
      <c r="B6" s="6">
        <v>450.8</v>
      </c>
      <c r="C6" s="6">
        <v>448.8</v>
      </c>
      <c r="D6" s="6">
        <v>428.26</v>
      </c>
      <c r="E6" s="6">
        <v>477.84800000000001</v>
      </c>
      <c r="F6" s="6">
        <v>495.88000000000011</v>
      </c>
      <c r="G6" s="6">
        <v>518.41999999999996</v>
      </c>
    </row>
    <row r="7" spans="1:7" x14ac:dyDescent="0.3">
      <c r="A7" s="30" t="s">
        <v>39</v>
      </c>
      <c r="B7" s="3">
        <v>105.22</v>
      </c>
      <c r="C7" s="3">
        <v>95.1</v>
      </c>
      <c r="D7" s="3">
        <v>99.958999999999989</v>
      </c>
      <c r="E7" s="3">
        <v>111.53319999999999</v>
      </c>
      <c r="F7" s="3">
        <v>115.742</v>
      </c>
      <c r="G7" s="3">
        <v>121.003</v>
      </c>
    </row>
    <row r="8" spans="1:7" x14ac:dyDescent="0.3">
      <c r="A8" s="31" t="s">
        <v>56</v>
      </c>
      <c r="B8" s="6">
        <v>40.054000000000002</v>
      </c>
      <c r="C8" s="6">
        <v>40.22</v>
      </c>
      <c r="D8" s="6">
        <v>38.051299999999998</v>
      </c>
      <c r="E8" s="6">
        <v>42.457240000000013</v>
      </c>
      <c r="F8" s="6">
        <v>44.059399999999997</v>
      </c>
      <c r="G8" s="6">
        <v>46.062100000000001</v>
      </c>
    </row>
    <row r="9" spans="1:7" x14ac:dyDescent="0.3">
      <c r="A9" s="30" t="s">
        <v>61</v>
      </c>
      <c r="B9" s="3">
        <v>16.03</v>
      </c>
      <c r="C9" s="3">
        <v>16.21</v>
      </c>
      <c r="D9" s="3">
        <v>15.2285</v>
      </c>
      <c r="E9" s="3">
        <v>16.991800000000001</v>
      </c>
      <c r="F9" s="3">
        <v>17.632999999999999</v>
      </c>
      <c r="G9" s="3">
        <v>18.4345</v>
      </c>
    </row>
    <row r="10" spans="1:7" x14ac:dyDescent="0.3">
      <c r="A10" s="31" t="s">
        <v>62</v>
      </c>
      <c r="B10" s="6">
        <v>27.35</v>
      </c>
      <c r="C10" s="6">
        <v>27.84</v>
      </c>
      <c r="D10" s="6">
        <v>25.982500000000002</v>
      </c>
      <c r="E10" s="6">
        <v>28.991</v>
      </c>
      <c r="F10" s="6">
        <v>30.085000000000001</v>
      </c>
      <c r="G10" s="6">
        <v>31.452500000000001</v>
      </c>
    </row>
    <row r="11" spans="1:7" x14ac:dyDescent="0.3">
      <c r="A11" s="30" t="s">
        <v>44</v>
      </c>
      <c r="B11" s="3">
        <v>132</v>
      </c>
      <c r="C11" s="3">
        <v>138.54</v>
      </c>
      <c r="D11" s="3">
        <v>125.4</v>
      </c>
      <c r="E11" s="3">
        <v>139.91999999999999</v>
      </c>
      <c r="F11" s="3">
        <v>145.19999999999999</v>
      </c>
      <c r="G11" s="3">
        <v>151.80000000000001</v>
      </c>
    </row>
    <row r="12" spans="1:7" x14ac:dyDescent="0.3">
      <c r="A12" s="31" t="s">
        <v>54</v>
      </c>
      <c r="B12" s="6">
        <v>253</v>
      </c>
      <c r="C12" s="6">
        <v>273.70999999999998</v>
      </c>
      <c r="D12" s="6">
        <v>240.35</v>
      </c>
      <c r="E12" s="6">
        <v>268.18</v>
      </c>
      <c r="F12" s="6">
        <v>278.3</v>
      </c>
      <c r="G12" s="6">
        <v>290.95</v>
      </c>
    </row>
  </sheetData>
  <mergeCells count="1">
    <mergeCell ref="A1:G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C8CFF"/>
  </sheetPr>
  <dimension ref="A1:C14"/>
  <sheetViews>
    <sheetView workbookViewId="0">
      <selection activeCell="F7" sqref="F7"/>
    </sheetView>
  </sheetViews>
  <sheetFormatPr defaultRowHeight="14.4" x14ac:dyDescent="0.3"/>
  <cols>
    <col min="1" max="1" width="6" style="67" customWidth="1"/>
    <col min="2" max="2" width="30" style="67" customWidth="1"/>
    <col min="3" max="3" width="79.5546875" style="67" customWidth="1"/>
  </cols>
  <sheetData>
    <row r="1" spans="1:3" ht="28.05" customHeight="1" x14ac:dyDescent="0.3">
      <c r="A1" s="76" t="s">
        <v>116</v>
      </c>
      <c r="B1" s="75"/>
      <c r="C1" s="75"/>
    </row>
    <row r="2" spans="1:3" x14ac:dyDescent="0.3">
      <c r="A2" s="1" t="s">
        <v>117</v>
      </c>
      <c r="B2" s="32" t="s">
        <v>23</v>
      </c>
      <c r="C2" s="32" t="s">
        <v>118</v>
      </c>
    </row>
    <row r="3" spans="1:3" x14ac:dyDescent="0.3">
      <c r="A3" s="2" t="s">
        <v>119</v>
      </c>
      <c r="B3" s="9" t="s">
        <v>120</v>
      </c>
      <c r="C3" s="9" t="s">
        <v>121</v>
      </c>
    </row>
    <row r="4" spans="1:3" x14ac:dyDescent="0.3">
      <c r="A4" s="5" t="s">
        <v>122</v>
      </c>
      <c r="B4" s="10" t="s">
        <v>123</v>
      </c>
      <c r="C4" s="10" t="s">
        <v>124</v>
      </c>
    </row>
    <row r="5" spans="1:3" x14ac:dyDescent="0.3">
      <c r="A5" s="2" t="s">
        <v>125</v>
      </c>
      <c r="B5" s="9" t="s">
        <v>126</v>
      </c>
      <c r="C5" s="9" t="s">
        <v>127</v>
      </c>
    </row>
    <row r="6" spans="1:3" x14ac:dyDescent="0.3">
      <c r="A6" s="5" t="s">
        <v>128</v>
      </c>
      <c r="B6" s="10" t="s">
        <v>129</v>
      </c>
      <c r="C6" s="10" t="s">
        <v>130</v>
      </c>
    </row>
    <row r="7" spans="1:3" x14ac:dyDescent="0.3">
      <c r="A7" s="2" t="s">
        <v>131</v>
      </c>
      <c r="B7" s="9" t="s">
        <v>132</v>
      </c>
      <c r="C7" s="9" t="s">
        <v>133</v>
      </c>
    </row>
    <row r="8" spans="1:3" x14ac:dyDescent="0.3">
      <c r="A8" s="5" t="s">
        <v>134</v>
      </c>
      <c r="B8" s="10" t="s">
        <v>135</v>
      </c>
      <c r="C8" s="10" t="s">
        <v>136</v>
      </c>
    </row>
    <row r="9" spans="1:3" x14ac:dyDescent="0.3">
      <c r="A9" s="2" t="s">
        <v>137</v>
      </c>
      <c r="B9" s="9" t="s">
        <v>138</v>
      </c>
      <c r="C9" s="9" t="s">
        <v>139</v>
      </c>
    </row>
    <row r="10" spans="1:3" x14ac:dyDescent="0.3">
      <c r="A10" s="5" t="s">
        <v>140</v>
      </c>
      <c r="B10" s="10" t="s">
        <v>141</v>
      </c>
      <c r="C10" s="10" t="s">
        <v>142</v>
      </c>
    </row>
    <row r="11" spans="1:3" x14ac:dyDescent="0.3">
      <c r="A11" s="2" t="s">
        <v>143</v>
      </c>
      <c r="B11" s="9" t="s">
        <v>144</v>
      </c>
      <c r="C11" s="9" t="s">
        <v>145</v>
      </c>
    </row>
    <row r="12" spans="1:3" x14ac:dyDescent="0.3">
      <c r="A12" s="5" t="s">
        <v>146</v>
      </c>
      <c r="B12" s="10" t="s">
        <v>147</v>
      </c>
      <c r="C12" s="10" t="s">
        <v>148</v>
      </c>
    </row>
    <row r="13" spans="1:3" x14ac:dyDescent="0.3">
      <c r="A13" s="2" t="s">
        <v>149</v>
      </c>
      <c r="B13" s="9" t="s">
        <v>150</v>
      </c>
      <c r="C13" s="9" t="s">
        <v>151</v>
      </c>
    </row>
    <row r="14" spans="1:3" x14ac:dyDescent="0.3">
      <c r="A14" s="5" t="s">
        <v>152</v>
      </c>
      <c r="B14" s="10" t="s">
        <v>153</v>
      </c>
      <c r="C14" s="10" t="s">
        <v>154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Fact_Portfolio</vt:lpstr>
      <vt:lpstr>Dim_Stock</vt:lpstr>
      <vt:lpstr>Dim_Scenario</vt:lpstr>
      <vt:lpstr>Fact_Prices</vt:lpstr>
      <vt:lpstr>Portfolio_Summary</vt:lpstr>
      <vt:lpstr>Stock_Visualization_Data</vt:lpstr>
      <vt:lpstr>PowerBI_Guide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2026-03-02T11:50:04Z</dcterms:created>
  <dcterms:modified xsi:type="dcterms:W3CDTF">2026-03-04T11:54:19Z</dcterms:modified>
</cp:coreProperties>
</file>