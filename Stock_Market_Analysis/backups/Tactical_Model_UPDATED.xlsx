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drawings/drawing1.xml" ContentType="application/vnd.openxmlformats-officedocument.drawing+xml"/>
  <Override PartName="/xl/tables/table2.xml" ContentType="application/vnd.openxmlformats-officedocument.spreadsheetml.table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E:\Stock Market\Analysis\Prompts\MAR_WEEK_1 Plan\"/>
    </mc:Choice>
  </mc:AlternateContent>
  <bookViews>
    <workbookView xWindow="0" yWindow="0" windowWidth="23040" windowHeight="7344"/>
  </bookViews>
  <sheets>
    <sheet name="Portfolio_Master" sheetId="1" r:id="rId1"/>
    <sheet name="Dim_Stock" sheetId="2" r:id="rId2"/>
    <sheet name="Dim_Scenario" sheetId="3" r:id="rId3"/>
    <sheet name="Fact_Prices" sheetId="4" r:id="rId4"/>
    <sheet name="Portfolio_Summary" sheetId="5" r:id="rId5"/>
    <sheet name="Stock_Visualization_Data" sheetId="6" r:id="rId6"/>
  </sheets>
  <calcPr calcId="162913"/>
</workbook>
</file>

<file path=xl/calcChain.xml><?xml version="1.0" encoding="utf-8"?>
<calcChain xmlns="http://schemas.openxmlformats.org/spreadsheetml/2006/main">
  <c r="G10" i="6" l="1"/>
  <c r="G9" i="6"/>
  <c r="G8" i="6"/>
  <c r="G7" i="6"/>
  <c r="G6" i="6"/>
  <c r="G5" i="6"/>
  <c r="G4" i="6"/>
  <c r="G3" i="6"/>
  <c r="G2" i="6"/>
</calcChain>
</file>

<file path=xl/sharedStrings.xml><?xml version="1.0" encoding="utf-8"?>
<sst xmlns="http://schemas.openxmlformats.org/spreadsheetml/2006/main" count="131" uniqueCount="87">
  <si>
    <t>Stock</t>
  </si>
  <si>
    <t>Sector</t>
  </si>
  <si>
    <t>Sub-Sector</t>
  </si>
  <si>
    <t>Allocation Rs</t>
  </si>
  <si>
    <t>Entry Price</t>
  </si>
  <si>
    <t>Quantity</t>
  </si>
  <si>
    <t>Target 1</t>
  </si>
  <si>
    <t>Target 2</t>
  </si>
  <si>
    <t>Target 3</t>
  </si>
  <si>
    <t>Stop Loss</t>
  </si>
  <si>
    <t>Risk Level</t>
  </si>
  <si>
    <t>Investment Value</t>
  </si>
  <si>
    <t>Current Price</t>
  </si>
  <si>
    <t>Current Value</t>
  </si>
  <si>
    <t>PnL Rs</t>
  </si>
  <si>
    <t>PnL Pct</t>
  </si>
  <si>
    <t>Risk Amount Rs</t>
  </si>
  <si>
    <t>SL Exit Value</t>
  </si>
  <si>
    <t>Dist to SL Pct</t>
  </si>
  <si>
    <t>Dist to T1 Pct</t>
  </si>
  <si>
    <t>Reward Risk</t>
  </si>
  <si>
    <t>Expected Value</t>
  </si>
  <si>
    <t>Action</t>
  </si>
  <si>
    <t>Strategic Role</t>
  </si>
  <si>
    <t>Volatility</t>
  </si>
  <si>
    <t>Date</t>
  </si>
  <si>
    <t>BEL</t>
  </si>
  <si>
    <t>Defence</t>
  </si>
  <si>
    <t>Electronics</t>
  </si>
  <si>
    <t>Medium-High</t>
  </si>
  <si>
    <t>Hold</t>
  </si>
  <si>
    <t>Core Hold</t>
  </si>
  <si>
    <t>BPCL</t>
  </si>
  <si>
    <t>Oil &amp; Gas</t>
  </si>
  <si>
    <t>Downstream OMC</t>
  </si>
  <si>
    <t>Medium</t>
  </si>
  <si>
    <t>Tactical Swing</t>
  </si>
  <si>
    <t>GOLDBEES</t>
  </si>
  <si>
    <t>ETF</t>
  </si>
  <si>
    <t>Gold ETF</t>
  </si>
  <si>
    <t>Low</t>
  </si>
  <si>
    <t>Hedge</t>
  </si>
  <si>
    <t>ONGC</t>
  </si>
  <si>
    <t>Upstream E&amp;P</t>
  </si>
  <si>
    <t>PMC Fincorp</t>
  </si>
  <si>
    <t>Fincorp</t>
  </si>
  <si>
    <t>Suzlon Energy</t>
  </si>
  <si>
    <t>Energy</t>
  </si>
  <si>
    <t>Renewable Wind</t>
  </si>
  <si>
    <t>Speculative</t>
  </si>
  <si>
    <t>Tata Gold Exchange Traded Fund</t>
  </si>
  <si>
    <t>Tata Silver Exchange Traded Fund</t>
  </si>
  <si>
    <t>Silver ETF</t>
  </si>
  <si>
    <t>Trident</t>
  </si>
  <si>
    <t>Textail</t>
  </si>
  <si>
    <t>Stock Name</t>
  </si>
  <si>
    <t>Scenario</t>
  </si>
  <si>
    <t>Probability</t>
  </si>
  <si>
    <t>Projected Value</t>
  </si>
  <si>
    <t>Oil Chg</t>
  </si>
  <si>
    <t>Gold Chg</t>
  </si>
  <si>
    <t>Nifty Chg</t>
  </si>
  <si>
    <t>Description</t>
  </si>
  <si>
    <t>Bullish</t>
  </si>
  <si>
    <t>Neutral</t>
  </si>
  <si>
    <t>Bearish</t>
  </si>
  <si>
    <t>Price</t>
  </si>
  <si>
    <t>Metric</t>
  </si>
  <si>
    <t>Value</t>
  </si>
  <si>
    <t>Status</t>
  </si>
  <si>
    <t>Total Capital</t>
  </si>
  <si>
    <t>—</t>
  </si>
  <si>
    <t>Total Invested</t>
  </si>
  <si>
    <t>Total Current Value</t>
  </si>
  <si>
    <t>Total PnL Rs</t>
  </si>
  <si>
    <t>✅ OK</t>
  </si>
  <si>
    <t>Total PnL Pct</t>
  </si>
  <si>
    <t>Total Risk Rs</t>
  </si>
  <si>
    <t>Capital After SL</t>
  </si>
  <si>
    <t>Portfolio Heat Pct</t>
  </si>
  <si>
    <t>Risk Status</t>
  </si>
  <si>
    <t>Warning</t>
  </si>
  <si>
    <t>🛑</t>
  </si>
  <si>
    <t>Active Stocks</t>
  </si>
  <si>
    <t>Cash Reserve</t>
  </si>
  <si>
    <t>Entry</t>
  </si>
  <si>
    <t>Current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</si>
</sst>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9" x14ac:knownFonts="1">
    <font>
      <sz val="11"/>
      <color theme="1"/>
      <name val="Calibri"/>
      <family val="2"/>
      <scheme val="minor"/>
    </font>
    <font>
      <b/>
      <sz val="10"/>
      <color rgb="FFE3B341"/>
      <name val="Calibri"/>
    </font>
    <font>
      <sz val="10"/>
      <color rgb="FFC9D1D9"/>
      <name val="Calibri"/>
    </font>
    <font>
      <sz val="10"/>
      <color rgb="FF3FB950"/>
      <name val="Calibri"/>
    </font>
    <font>
      <sz val="10"/>
      <color rgb="FF8B949E"/>
      <name val="Calibri"/>
    </font>
    <font>
      <sz val="10"/>
      <color rgb="FFF85149"/>
      <name val="Calibri"/>
    </font>
    <font>
      <sz val="10"/>
      <color rgb="FFE3B341"/>
      <name val="Calibri"/>
    </font>
    <font>
      <sz val="10"/>
      <color rgb="FF58A6FF"/>
      <name val="Calibri"/>
    </font>
    <font>
      <sz val="10"/>
      <color rgb="FFFFFFFF"/>
      <name val="Calibri"/>
    </font>
  </fonts>
  <fills count="5">
    <fill>
      <patternFill patternType="none"/>
    </fill>
    <fill>
      <patternFill patternType="gray125"/>
    </fill>
    <fill>
      <patternFill patternType="solid">
        <fgColor rgb="FF161B22"/>
      </patternFill>
    </fill>
    <fill>
      <patternFill patternType="solid">
        <fgColor rgb="FF0D1117"/>
      </patternFill>
    </fill>
    <fill>
      <patternFill patternType="solid">
        <fgColor rgb="FF1C2128"/>
      </patternFill>
    </fill>
  </fills>
  <borders count="2">
    <border>
      <left/>
      <right/>
      <top/>
      <bottom/>
      <diagonal/>
    </border>
    <border>
      <left style="thin">
        <color rgb="FF30363D"/>
      </left>
      <right style="thin">
        <color rgb="FF30363D"/>
      </right>
      <top style="thin">
        <color rgb="FF30363D"/>
      </top>
      <bottom style="thin">
        <color rgb="FF30363D"/>
      </bottom>
      <diagonal/>
    </border>
  </borders>
  <cellStyleXfs count="1">
    <xf numFmtId="0" fontId="0" fillId="0" borderId="0"/>
  </cellStyleXfs>
  <cellXfs count="29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4" fontId="2" fillId="3" borderId="1" xfId="0" applyNumberFormat="1" applyFont="1" applyFill="1" applyBorder="1" applyAlignment="1">
      <alignment horizontal="center" vertical="center"/>
    </xf>
    <xf numFmtId="4" fontId="3" fillId="3" borderId="1" xfId="0" applyNumberFormat="1" applyFont="1" applyFill="1" applyBorder="1" applyAlignment="1">
      <alignment horizontal="center" vertical="center"/>
    </xf>
    <xf numFmtId="10" fontId="3" fillId="3" borderId="1" xfId="0" applyNumberFormat="1" applyFont="1" applyFill="1" applyBorder="1" applyAlignment="1">
      <alignment horizontal="center" vertical="center"/>
    </xf>
    <xf numFmtId="10" fontId="2" fillId="3" borderId="1" xfId="0" applyNumberFormat="1" applyFont="1" applyFill="1" applyBorder="1" applyAlignment="1">
      <alignment horizontal="center" vertical="center"/>
    </xf>
    <xf numFmtId="2" fontId="2" fillId="3" borderId="1" xfId="0" applyNumberFormat="1" applyFont="1" applyFill="1" applyBorder="1" applyAlignment="1">
      <alignment horizontal="center" vertical="center"/>
    </xf>
    <xf numFmtId="0" fontId="4" fillId="3" borderId="1" xfId="0" applyFont="1" applyFill="1" applyBorder="1" applyAlignment="1">
      <alignment horizontal="center" vertical="center"/>
    </xf>
    <xf numFmtId="0" fontId="2" fillId="4" borderId="1" xfId="0" applyFont="1" applyFill="1" applyBorder="1" applyAlignment="1">
      <alignment horizontal="center" vertical="center"/>
    </xf>
    <xf numFmtId="4" fontId="2" fillId="4" borderId="1" xfId="0" applyNumberFormat="1" applyFont="1" applyFill="1" applyBorder="1" applyAlignment="1">
      <alignment horizontal="center" vertical="center"/>
    </xf>
    <xf numFmtId="4" fontId="3" fillId="4" borderId="1" xfId="0" applyNumberFormat="1" applyFont="1" applyFill="1" applyBorder="1" applyAlignment="1">
      <alignment horizontal="center" vertical="center"/>
    </xf>
    <xf numFmtId="10" fontId="3" fillId="4" borderId="1" xfId="0" applyNumberFormat="1" applyFont="1" applyFill="1" applyBorder="1" applyAlignment="1">
      <alignment horizontal="center" vertical="center"/>
    </xf>
    <xf numFmtId="10" fontId="2" fillId="4" borderId="1" xfId="0" applyNumberFormat="1" applyFont="1" applyFill="1" applyBorder="1" applyAlignment="1">
      <alignment horizontal="center" vertical="center"/>
    </xf>
    <xf numFmtId="2" fontId="2" fillId="4" borderId="1" xfId="0" applyNumberFormat="1" applyFont="1" applyFill="1" applyBorder="1" applyAlignment="1">
      <alignment horizontal="center" vertical="center"/>
    </xf>
    <xf numFmtId="0" fontId="4" fillId="4" borderId="1" xfId="0" applyFont="1" applyFill="1" applyBorder="1" applyAlignment="1">
      <alignment horizontal="center" vertical="center"/>
    </xf>
    <xf numFmtId="4" fontId="5" fillId="3" borderId="1" xfId="0" applyNumberFormat="1" applyFont="1" applyFill="1" applyBorder="1" applyAlignment="1">
      <alignment horizontal="center" vertical="center"/>
    </xf>
    <xf numFmtId="10" fontId="5" fillId="3" borderId="1" xfId="0" applyNumberFormat="1" applyFont="1" applyFill="1" applyBorder="1" applyAlignment="1">
      <alignment horizontal="center" vertical="center"/>
    </xf>
    <xf numFmtId="0" fontId="6" fillId="4" borderId="1" xfId="0" applyFont="1" applyFill="1" applyBorder="1" applyAlignment="1">
      <alignment horizontal="center" vertical="center"/>
    </xf>
    <xf numFmtId="4" fontId="5" fillId="4" borderId="1" xfId="0" applyNumberFormat="1" applyFont="1" applyFill="1" applyBorder="1" applyAlignment="1">
      <alignment horizontal="center" vertical="center"/>
    </xf>
    <xf numFmtId="10" fontId="5" fillId="4" borderId="1" xfId="0" applyNumberFormat="1" applyFont="1" applyFill="1" applyBorder="1" applyAlignment="1">
      <alignment horizontal="center" vertical="center"/>
    </xf>
    <xf numFmtId="0" fontId="5" fillId="3" borderId="1" xfId="0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left" vertical="center"/>
    </xf>
    <xf numFmtId="0" fontId="2" fillId="4" borderId="1" xfId="0" applyFont="1" applyFill="1" applyBorder="1" applyAlignment="1">
      <alignment horizontal="left" vertical="center"/>
    </xf>
    <xf numFmtId="0" fontId="3" fillId="3" borderId="1" xfId="0" applyFont="1" applyFill="1" applyBorder="1" applyAlignment="1">
      <alignment horizontal="center" vertical="center"/>
    </xf>
    <xf numFmtId="0" fontId="7" fillId="4" borderId="1" xfId="0" applyFont="1" applyFill="1" applyBorder="1" applyAlignment="1">
      <alignment horizontal="center" vertical="center"/>
    </xf>
    <xf numFmtId="0" fontId="8" fillId="3" borderId="1" xfId="0" applyFont="1" applyFill="1" applyBorder="1" applyAlignment="1">
      <alignment horizontal="left" vertical="center"/>
    </xf>
    <xf numFmtId="0" fontId="8" fillId="4" borderId="1" xfId="0" applyFont="1" applyFill="1" applyBorder="1" applyAlignment="1">
      <alignment horizontal="left" vertical="center"/>
    </xf>
    <xf numFmtId="0" fontId="3" fillId="4" borderId="1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11"/>
  <c:chart>
    <c:title>
      <c:tx>
        <c:rich>
          <a:bodyPr/>
          <a:lstStyle/>
          <a:p>
            <a:pPr>
              <a:defRPr/>
            </a:pPr>
            <a:r>
              <a:t>Entry vs Current</a:t>
            </a:r>
          </a:p>
        </c:rich>
      </c:tx>
      <c:overlay val="1"/>
    </c:title>
    <c:autoTitleDeleted val="0"/>
    <c:plotArea>
      <c:layout/>
      <c:barChart>
        <c:barDir val="col"/>
        <c:grouping val="clustered"/>
        <c:varyColors val="1"/>
        <c:ser>
          <c:idx val="0"/>
          <c:order val="0"/>
          <c:tx>
            <c:strRef>
              <c:f>Stock_Visualization_Data!$B$1</c:f>
              <c:strCache>
                <c:ptCount val="1"/>
                <c:pt idx="0">
                  <c:v>Entry</c:v>
                </c:pt>
              </c:strCache>
            </c:strRef>
          </c:tx>
          <c:spPr>
            <a:ln>
              <a:prstDash val="solid"/>
            </a:ln>
          </c:spPr>
          <c:invertIfNegative val="1"/>
          <c:cat>
            <c:strRef>
              <c:f>Stock_Visualization_Data!$A$2:$A$10</c:f>
              <c:strCache>
                <c:ptCount val="9"/>
                <c:pt idx="0">
                  <c:v>BEL</c:v>
                </c:pt>
                <c:pt idx="1">
                  <c:v>BPCL</c:v>
                </c:pt>
                <c:pt idx="2">
                  <c:v>GOLDBEES</c:v>
                </c:pt>
                <c:pt idx="3">
                  <c:v>ONGC</c:v>
                </c:pt>
                <c:pt idx="4">
                  <c:v>PMC Fincorp</c:v>
                </c:pt>
                <c:pt idx="5">
                  <c:v>Suzlon Energy</c:v>
                </c:pt>
                <c:pt idx="6">
                  <c:v>Tata Gold Exchange Traded Fund</c:v>
                </c:pt>
                <c:pt idx="7">
                  <c:v>Tata Silver Exchange Traded Fund</c:v>
                </c:pt>
                <c:pt idx="8">
                  <c:v>Trident</c:v>
                </c:pt>
              </c:strCache>
            </c:strRef>
          </c:cat>
          <c:val>
            <c:numRef>
              <c:f>Stock_Visualization_Data!$B$2:$B$10</c:f>
              <c:numCache>
                <c:formatCode>#,##0.00</c:formatCode>
                <c:ptCount val="9"/>
                <c:pt idx="0">
                  <c:v>449.8</c:v>
                </c:pt>
                <c:pt idx="1">
                  <c:v>358.6</c:v>
                </c:pt>
                <c:pt idx="2">
                  <c:v>135.46</c:v>
                </c:pt>
                <c:pt idx="3">
                  <c:v>279.26</c:v>
                </c:pt>
                <c:pt idx="4">
                  <c:v>1.72</c:v>
                </c:pt>
                <c:pt idx="5">
                  <c:v>11.97</c:v>
                </c:pt>
                <c:pt idx="6">
                  <c:v>16.03</c:v>
                </c:pt>
                <c:pt idx="7">
                  <c:v>25.77</c:v>
                </c:pt>
                <c:pt idx="8">
                  <c:v>26.57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8B0-410D-99E0-13BD77AEE962}"/>
            </c:ext>
          </c:extLst>
        </c:ser>
        <c:ser>
          <c:idx val="1"/>
          <c:order val="1"/>
          <c:tx>
            <c:strRef>
              <c:f>Stock_Visualization_Data!$C$1</c:f>
              <c:strCache>
                <c:ptCount val="1"/>
                <c:pt idx="0">
                  <c:v>Current</c:v>
                </c:pt>
              </c:strCache>
            </c:strRef>
          </c:tx>
          <c:spPr>
            <a:ln>
              <a:prstDash val="solid"/>
            </a:ln>
          </c:spPr>
          <c:invertIfNegative val="1"/>
          <c:cat>
            <c:strRef>
              <c:f>Stock_Visualization_Data!$A$2:$A$10</c:f>
              <c:strCache>
                <c:ptCount val="9"/>
                <c:pt idx="0">
                  <c:v>BEL</c:v>
                </c:pt>
                <c:pt idx="1">
                  <c:v>BPCL</c:v>
                </c:pt>
                <c:pt idx="2">
                  <c:v>GOLDBEES</c:v>
                </c:pt>
                <c:pt idx="3">
                  <c:v>ONGC</c:v>
                </c:pt>
                <c:pt idx="4">
                  <c:v>PMC Fincorp</c:v>
                </c:pt>
                <c:pt idx="5">
                  <c:v>Suzlon Energy</c:v>
                </c:pt>
                <c:pt idx="6">
                  <c:v>Tata Gold Exchange Traded Fund</c:v>
                </c:pt>
                <c:pt idx="7">
                  <c:v>Tata Silver Exchange Traded Fund</c:v>
                </c:pt>
                <c:pt idx="8">
                  <c:v>Trident</c:v>
                </c:pt>
              </c:strCache>
            </c:strRef>
          </c:cat>
          <c:val>
            <c:numRef>
              <c:f>Stock_Visualization_Data!$C$2:$C$10</c:f>
              <c:numCache>
                <c:formatCode>#,##0.00</c:formatCode>
                <c:ptCount val="9"/>
                <c:pt idx="0">
                  <c:v>453.75</c:v>
                </c:pt>
                <c:pt idx="1">
                  <c:v>359</c:v>
                </c:pt>
                <c:pt idx="2">
                  <c:v>133.57</c:v>
                </c:pt>
                <c:pt idx="3">
                  <c:v>282.5</c:v>
                </c:pt>
                <c:pt idx="4">
                  <c:v>1.82</c:v>
                </c:pt>
                <c:pt idx="5">
                  <c:v>40.28</c:v>
                </c:pt>
                <c:pt idx="6">
                  <c:v>15.65</c:v>
                </c:pt>
                <c:pt idx="7">
                  <c:v>25.67</c:v>
                </c:pt>
                <c:pt idx="8">
                  <c:v>23.71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08B0-410D-99E0-13BD77AEE96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0"/>
        <c:axId val="100"/>
      </c:barChart>
      <c:catAx>
        <c:axId val="10"/>
        <c:scaling>
          <c:orientation val="minMax"/>
        </c:scaling>
        <c:delete val="1"/>
        <c:axPos val="b"/>
        <c:numFmt formatCode="General" sourceLinked="1"/>
        <c:majorTickMark val="none"/>
        <c:minorTickMark val="none"/>
        <c:tickLblPos val="nextTo"/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</c:scaling>
        <c:delete val="1"/>
        <c:axPos val="l"/>
        <c:majorGridlines/>
        <c:numFmt formatCode="#,##0.00" sourceLinked="1"/>
        <c:majorTickMark val="none"/>
        <c:minorTickMark val="none"/>
        <c:tickLblPos val="nextTo"/>
        <c:crossAx val="10"/>
        <c:crosses val="autoZero"/>
        <c:crossBetween val="between"/>
      </c:valAx>
    </c:plotArea>
    <c:legend>
      <c:legendPos val="r"/>
      <c:overlay val="1"/>
    </c:legend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11"/>
  <c:chart>
    <c:title>
      <c:tx>
        <c:rich>
          <a:bodyPr/>
          <a:lstStyle/>
          <a:p>
            <a:pPr>
              <a:defRPr/>
            </a:pPr>
            <a:r>
              <a:t>Stop Loss Levels</a:t>
            </a:r>
          </a:p>
        </c:rich>
      </c:tx>
      <c:overlay val="1"/>
    </c:title>
    <c:autoTitleDeleted val="0"/>
    <c:plotArea>
      <c:layout/>
      <c:barChart>
        <c:barDir val="col"/>
        <c:grouping val="clustered"/>
        <c:varyColors val="1"/>
        <c:ser>
          <c:idx val="0"/>
          <c:order val="0"/>
          <c:tx>
            <c:strRef>
              <c:f>Stock_Visualization_Data!$D$1</c:f>
              <c:strCache>
                <c:ptCount val="1"/>
                <c:pt idx="0">
                  <c:v>Stop Loss</c:v>
                </c:pt>
              </c:strCache>
            </c:strRef>
          </c:tx>
          <c:spPr>
            <a:ln>
              <a:prstDash val="solid"/>
            </a:ln>
          </c:spPr>
          <c:invertIfNegative val="1"/>
          <c:cat>
            <c:strRef>
              <c:f>Stock_Visualization_Data!$A$2:$A$10</c:f>
              <c:strCache>
                <c:ptCount val="9"/>
                <c:pt idx="0">
                  <c:v>BEL</c:v>
                </c:pt>
                <c:pt idx="1">
                  <c:v>BPCL</c:v>
                </c:pt>
                <c:pt idx="2">
                  <c:v>GOLDBEES</c:v>
                </c:pt>
                <c:pt idx="3">
                  <c:v>ONGC</c:v>
                </c:pt>
                <c:pt idx="4">
                  <c:v>PMC Fincorp</c:v>
                </c:pt>
                <c:pt idx="5">
                  <c:v>Suzlon Energy</c:v>
                </c:pt>
                <c:pt idx="6">
                  <c:v>Tata Gold Exchange Traded Fund</c:v>
                </c:pt>
                <c:pt idx="7">
                  <c:v>Tata Silver Exchange Traded Fund</c:v>
                </c:pt>
                <c:pt idx="8">
                  <c:v>Trident</c:v>
                </c:pt>
              </c:strCache>
            </c:strRef>
          </c:cat>
          <c:val>
            <c:numRef>
              <c:f>Stock_Visualization_Data!$D$2:$D$10</c:f>
              <c:numCache>
                <c:formatCode>#,##0.00</c:formatCode>
                <c:ptCount val="9"/>
                <c:pt idx="0">
                  <c:v>428.26</c:v>
                </c:pt>
                <c:pt idx="1">
                  <c:v>353.82749999999999</c:v>
                </c:pt>
                <c:pt idx="2">
                  <c:v>125.4</c:v>
                </c:pt>
                <c:pt idx="3">
                  <c:v>265.38249999999999</c:v>
                </c:pt>
                <c:pt idx="4">
                  <c:v>1.63</c:v>
                </c:pt>
                <c:pt idx="5">
                  <c:v>38.051299999999998</c:v>
                </c:pt>
                <c:pt idx="6">
                  <c:v>15.2285</c:v>
                </c:pt>
                <c:pt idx="7">
                  <c:v>25.982500000000002</c:v>
                </c:pt>
                <c:pt idx="8">
                  <c:v>25.24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4E7-4FF4-B6E4-B432AB81E48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0"/>
        <c:axId val="100"/>
      </c:barChart>
      <c:catAx>
        <c:axId val="10"/>
        <c:scaling>
          <c:orientation val="minMax"/>
        </c:scaling>
        <c:delete val="1"/>
        <c:axPos val="b"/>
        <c:numFmt formatCode="General" sourceLinked="1"/>
        <c:majorTickMark val="none"/>
        <c:minorTickMark val="none"/>
        <c:tickLblPos val="nextTo"/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</c:scaling>
        <c:delete val="1"/>
        <c:axPos val="l"/>
        <c:majorGridlines/>
        <c:numFmt formatCode="#,##0.00" sourceLinked="1"/>
        <c:majorTickMark val="none"/>
        <c:minorTickMark val="none"/>
        <c:tickLblPos val="nextTo"/>
        <c:crossAx val="10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11"/>
  <c:chart>
    <c:title>
      <c:tx>
        <c:rich>
          <a:bodyPr/>
          <a:lstStyle/>
          <a:p>
            <a:pPr>
              <a:defRPr/>
            </a:pPr>
            <a:r>
              <a:t>Target 1</a:t>
            </a:r>
          </a:p>
        </c:rich>
      </c:tx>
      <c:overlay val="1"/>
    </c:title>
    <c:autoTitleDeleted val="0"/>
    <c:plotArea>
      <c:layout/>
      <c:barChart>
        <c:barDir val="col"/>
        <c:grouping val="clustered"/>
        <c:varyColors val="1"/>
        <c:ser>
          <c:idx val="0"/>
          <c:order val="0"/>
          <c:tx>
            <c:strRef>
              <c:f>Stock_Visualization_Data!$E$1</c:f>
              <c:strCache>
                <c:ptCount val="1"/>
                <c:pt idx="0">
                  <c:v>Target 1</c:v>
                </c:pt>
              </c:strCache>
            </c:strRef>
          </c:tx>
          <c:spPr>
            <a:ln>
              <a:prstDash val="solid"/>
            </a:ln>
          </c:spPr>
          <c:invertIfNegative val="1"/>
          <c:cat>
            <c:strRef>
              <c:f>Stock_Visualization_Data!$A$2:$A$10</c:f>
              <c:strCache>
                <c:ptCount val="9"/>
                <c:pt idx="0">
                  <c:v>BEL</c:v>
                </c:pt>
                <c:pt idx="1">
                  <c:v>BPCL</c:v>
                </c:pt>
                <c:pt idx="2">
                  <c:v>GOLDBEES</c:v>
                </c:pt>
                <c:pt idx="3">
                  <c:v>ONGC</c:v>
                </c:pt>
                <c:pt idx="4">
                  <c:v>PMC Fincorp</c:v>
                </c:pt>
                <c:pt idx="5">
                  <c:v>Suzlon Energy</c:v>
                </c:pt>
                <c:pt idx="6">
                  <c:v>Tata Gold Exchange Traded Fund</c:v>
                </c:pt>
                <c:pt idx="7">
                  <c:v>Tata Silver Exchange Traded Fund</c:v>
                </c:pt>
                <c:pt idx="8">
                  <c:v>Trident</c:v>
                </c:pt>
              </c:strCache>
            </c:strRef>
          </c:cat>
          <c:val>
            <c:numRef>
              <c:f>Stock_Visualization_Data!$E$2:$E$10</c:f>
              <c:numCache>
                <c:formatCode>#,##0.00</c:formatCode>
                <c:ptCount val="9"/>
                <c:pt idx="0">
                  <c:v>477.84800000000001</c:v>
                </c:pt>
                <c:pt idx="1">
                  <c:v>394.79700000000003</c:v>
                </c:pt>
                <c:pt idx="2">
                  <c:v>139.91999999999999</c:v>
                </c:pt>
                <c:pt idx="3">
                  <c:v>296.11099999999999</c:v>
                </c:pt>
                <c:pt idx="4">
                  <c:v>1.82</c:v>
                </c:pt>
                <c:pt idx="5">
                  <c:v>42.457240000000013</c:v>
                </c:pt>
                <c:pt idx="6">
                  <c:v>16.991800000000001</c:v>
                </c:pt>
                <c:pt idx="7">
                  <c:v>28.991</c:v>
                </c:pt>
                <c:pt idx="8">
                  <c:v>28.16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898-4174-885A-F97FD113986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0"/>
        <c:axId val="100"/>
      </c:barChart>
      <c:catAx>
        <c:axId val="10"/>
        <c:scaling>
          <c:orientation val="minMax"/>
        </c:scaling>
        <c:delete val="1"/>
        <c:axPos val="b"/>
        <c:numFmt formatCode="General" sourceLinked="1"/>
        <c:majorTickMark val="none"/>
        <c:minorTickMark val="none"/>
        <c:tickLblPos val="nextTo"/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</c:scaling>
        <c:delete val="1"/>
        <c:axPos val="l"/>
        <c:majorGridlines/>
        <c:numFmt formatCode="#,##0.00" sourceLinked="1"/>
        <c:majorTickMark val="none"/>
        <c:minorTickMark val="none"/>
        <c:tickLblPos val="nextTo"/>
        <c:crossAx val="10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11"/>
  <c:chart>
    <c:title>
      <c:tx>
        <c:rich>
          <a:bodyPr/>
          <a:lstStyle/>
          <a:p>
            <a:pPr>
              <a:defRPr/>
            </a:pPr>
            <a:r>
              <a:t>Target 2–3</a:t>
            </a:r>
          </a:p>
        </c:rich>
      </c:tx>
      <c:overlay val="1"/>
    </c:title>
    <c:autoTitleDeleted val="0"/>
    <c:plotArea>
      <c:layout/>
      <c:barChart>
        <c:barDir val="col"/>
        <c:grouping val="clustered"/>
        <c:varyColors val="1"/>
        <c:ser>
          <c:idx val="0"/>
          <c:order val="0"/>
          <c:tx>
            <c:strRef>
              <c:f>Stock_Visualization_Data!$F$1</c:f>
              <c:strCache>
                <c:ptCount val="1"/>
                <c:pt idx="0">
                  <c:v>Target 2</c:v>
                </c:pt>
              </c:strCache>
            </c:strRef>
          </c:tx>
          <c:spPr>
            <a:ln>
              <a:prstDash val="solid"/>
            </a:ln>
          </c:spPr>
          <c:invertIfNegative val="1"/>
          <c:cat>
            <c:strRef>
              <c:f>Stock_Visualization_Data!$A$2:$A$10</c:f>
              <c:strCache>
                <c:ptCount val="9"/>
                <c:pt idx="0">
                  <c:v>BEL</c:v>
                </c:pt>
                <c:pt idx="1">
                  <c:v>BPCL</c:v>
                </c:pt>
                <c:pt idx="2">
                  <c:v>GOLDBEES</c:v>
                </c:pt>
                <c:pt idx="3">
                  <c:v>ONGC</c:v>
                </c:pt>
                <c:pt idx="4">
                  <c:v>PMC Fincorp</c:v>
                </c:pt>
                <c:pt idx="5">
                  <c:v>Suzlon Energy</c:v>
                </c:pt>
                <c:pt idx="6">
                  <c:v>Tata Gold Exchange Traded Fund</c:v>
                </c:pt>
                <c:pt idx="7">
                  <c:v>Tata Silver Exchange Traded Fund</c:v>
                </c:pt>
                <c:pt idx="8">
                  <c:v>Trident</c:v>
                </c:pt>
              </c:strCache>
            </c:strRef>
          </c:cat>
          <c:val>
            <c:numRef>
              <c:f>Stock_Visualization_Data!$F$2:$F$10</c:f>
              <c:numCache>
                <c:formatCode>#,##0.00</c:formatCode>
                <c:ptCount val="9"/>
                <c:pt idx="0">
                  <c:v>495.88000000000011</c:v>
                </c:pt>
                <c:pt idx="1">
                  <c:v>409.69499999999999</c:v>
                </c:pt>
                <c:pt idx="2">
                  <c:v>145.19999999999999</c:v>
                </c:pt>
                <c:pt idx="3">
                  <c:v>307.28500000000003</c:v>
                </c:pt>
                <c:pt idx="4">
                  <c:v>1.89</c:v>
                </c:pt>
                <c:pt idx="5">
                  <c:v>44.059399999999997</c:v>
                </c:pt>
                <c:pt idx="6">
                  <c:v>17.632999999999999</c:v>
                </c:pt>
                <c:pt idx="7">
                  <c:v>30.085000000000001</c:v>
                </c:pt>
                <c:pt idx="8">
                  <c:v>29.23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BE8-46A9-9CF7-ACF667B2C0D7}"/>
            </c:ext>
          </c:extLst>
        </c:ser>
        <c:ser>
          <c:idx val="1"/>
          <c:order val="1"/>
          <c:tx>
            <c:strRef>
              <c:f>Stock_Visualization_Data!$G$1</c:f>
              <c:strCache>
                <c:ptCount val="1"/>
                <c:pt idx="0">
                  <c:v>Target 3</c:v>
                </c:pt>
              </c:strCache>
            </c:strRef>
          </c:tx>
          <c:spPr>
            <a:ln>
              <a:prstDash val="solid"/>
            </a:ln>
          </c:spPr>
          <c:invertIfNegative val="1"/>
          <c:cat>
            <c:strRef>
              <c:f>Stock_Visualization_Data!$A$2:$A$10</c:f>
              <c:strCache>
                <c:ptCount val="9"/>
                <c:pt idx="0">
                  <c:v>BEL</c:v>
                </c:pt>
                <c:pt idx="1">
                  <c:v>BPCL</c:v>
                </c:pt>
                <c:pt idx="2">
                  <c:v>GOLDBEES</c:v>
                </c:pt>
                <c:pt idx="3">
                  <c:v>ONGC</c:v>
                </c:pt>
                <c:pt idx="4">
                  <c:v>PMC Fincorp</c:v>
                </c:pt>
                <c:pt idx="5">
                  <c:v>Suzlon Energy</c:v>
                </c:pt>
                <c:pt idx="6">
                  <c:v>Tata Gold Exchange Traded Fund</c:v>
                </c:pt>
                <c:pt idx="7">
                  <c:v>Tata Silver Exchange Traded Fund</c:v>
                </c:pt>
                <c:pt idx="8">
                  <c:v>Trident</c:v>
                </c:pt>
              </c:strCache>
            </c:strRef>
          </c:cat>
          <c:val>
            <c:numRef>
              <c:f>Stock_Visualization_Data!$G$2:$G$10</c:f>
              <c:numCache>
                <c:formatCode>#,##0.00</c:formatCode>
                <c:ptCount val="9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EBE8-46A9-9CF7-ACF667B2C0D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0"/>
        <c:axId val="100"/>
      </c:barChart>
      <c:catAx>
        <c:axId val="10"/>
        <c:scaling>
          <c:orientation val="minMax"/>
        </c:scaling>
        <c:delete val="1"/>
        <c:axPos val="b"/>
        <c:numFmt formatCode="General" sourceLinked="1"/>
        <c:majorTickMark val="none"/>
        <c:minorTickMark val="none"/>
        <c:tickLblPos val="nextTo"/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</c:scaling>
        <c:delete val="1"/>
        <c:axPos val="l"/>
        <c:majorGridlines/>
        <c:numFmt formatCode="#,##0.00" sourceLinked="1"/>
        <c:majorTickMark val="none"/>
        <c:minorTickMark val="none"/>
        <c:tickLblPos val="nextTo"/>
        <c:crossAx val="10"/>
        <c:crosses val="autoZero"/>
        <c:crossBetween val="between"/>
      </c:valAx>
    </c:plotArea>
    <c:legend>
      <c:legendPos val="r"/>
      <c:overlay val="1"/>
    </c:legend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4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3</xdr:row>
      <xdr:rowOff>0</xdr:rowOff>
    </xdr:from>
    <xdr:ext cx="6480000" cy="4320000"/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oneCellAnchor>
  <xdr:oneCellAnchor>
    <xdr:from>
      <xdr:col>9</xdr:col>
      <xdr:colOff>0</xdr:colOff>
      <xdr:row>3</xdr:row>
      <xdr:rowOff>0</xdr:rowOff>
    </xdr:from>
    <xdr:ext cx="6480000" cy="4320000"/>
    <xdr:graphicFrame macro="">
      <xdr:nvGraphicFramePr>
        <xdr:cNvPr id="3" name="Chart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oneCellAnchor>
  <xdr:oneCellAnchor>
    <xdr:from>
      <xdr:col>0</xdr:col>
      <xdr:colOff>0</xdr:colOff>
      <xdr:row>21</xdr:row>
      <xdr:rowOff>0</xdr:rowOff>
    </xdr:from>
    <xdr:ext cx="6480000" cy="4320000"/>
    <xdr:graphicFrame macro="">
      <xdr:nvGraphicFramePr>
        <xdr:cNvPr id="4" name="Chart 3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oneCellAnchor>
  <xdr:oneCellAnchor>
    <xdr:from>
      <xdr:col>9</xdr:col>
      <xdr:colOff>0</xdr:colOff>
      <xdr:row>21</xdr:row>
      <xdr:rowOff>0</xdr:rowOff>
    </xdr:from>
    <xdr:ext cx="6480000" cy="4320000"/>
    <xdr:graphicFrame macro="">
      <xdr:nvGraphicFramePr>
        <xdr:cNvPr id="5" name="Chart 4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oneCellAnchor>
</xdr:wsDr>
</file>

<file path=xl/tables/table1.xml><?xml version="1.0" encoding="utf-8"?>
<table xmlns="http://schemas.openxmlformats.org/spreadsheetml/2006/main" id="1" name="FactPortfolio" displayName="FactPortfolio" ref="A1:Z10">
  <autoFilter ref="A1:Z10"/>
  <tableColumns count="26">
    <tableColumn id="1" name="Stock"/>
    <tableColumn id="2" name="Sector"/>
    <tableColumn id="3" name="Sub-Sector"/>
    <tableColumn id="4" name="Allocation Rs"/>
    <tableColumn id="5" name="Entry Price"/>
    <tableColumn id="6" name="Quantity"/>
    <tableColumn id="7" name="Target 1"/>
    <tableColumn id="8" name="Target 2"/>
    <tableColumn id="9" name="Target 3"/>
    <tableColumn id="10" name="Stop Loss"/>
    <tableColumn id="11" name="Risk Level"/>
    <tableColumn id="12" name="Investment Value"/>
    <tableColumn id="13" name="Current Price"/>
    <tableColumn id="14" name="Current Value"/>
    <tableColumn id="15" name="PnL Rs"/>
    <tableColumn id="16" name="PnL Pct"/>
    <tableColumn id="17" name="Risk Amount Rs"/>
    <tableColumn id="18" name="SL Exit Value"/>
    <tableColumn id="19" name="Dist to SL Pct"/>
    <tableColumn id="20" name="Dist to T1 Pct"/>
    <tableColumn id="21" name="Reward Risk"/>
    <tableColumn id="22" name="Expected Value"/>
    <tableColumn id="23" name="Action"/>
    <tableColumn id="24" name="Strategic Role"/>
    <tableColumn id="25" name="Volatility"/>
    <tableColumn id="26" name="Date"/>
  </tableColumns>
  <tableStyleInfo name="TableStyleMedium9" showFirstColumn="0" showLastColumn="0" showRowStripes="1" showColumnStripes="0"/>
</table>
</file>

<file path=xl/tables/table2.xml><?xml version="1.0" encoding="utf-8"?>
<table xmlns="http://schemas.openxmlformats.org/spreadsheetml/2006/main" id="2" name="StockVizData" displayName="StockVizData" ref="A1:G10">
  <autoFilter ref="A1:G10"/>
  <tableColumns count="7">
    <tableColumn id="1" name="Stock"/>
    <tableColumn id="2" name="Entry"/>
    <tableColumn id="3" name="Current"/>
    <tableColumn id="4" name="Stop Loss"/>
    <tableColumn id="5" name="Target 1"/>
    <tableColumn id="6" name="Target 2"/>
    <tableColumn id="7" name="Target 3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58A6FF"/>
  </sheetPr>
  <dimension ref="A1:Z10"/>
  <sheetViews>
    <sheetView tabSelected="1" workbookViewId="0">
      <pane ySplit="1" topLeftCell="A2" activePane="bottomLeft" state="frozen"/>
      <selection pane="bottomLeft" activeCell="A16" sqref="A16"/>
    </sheetView>
  </sheetViews>
  <sheetFormatPr defaultRowHeight="14.4" x14ac:dyDescent="0.3"/>
  <cols>
    <col min="1" max="1" width="26" customWidth="1"/>
    <col min="2" max="26" width="14" customWidth="1"/>
  </cols>
  <sheetData>
    <row r="1" spans="1:26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</row>
    <row r="2" spans="1:26" x14ac:dyDescent="0.3">
      <c r="A2" s="2"/>
      <c r="B2" s="2"/>
      <c r="C2" s="2"/>
      <c r="D2" s="3"/>
      <c r="E2" s="3"/>
      <c r="F2" s="2"/>
      <c r="G2" s="3"/>
      <c r="H2" s="3"/>
      <c r="I2" s="3"/>
      <c r="J2" s="3"/>
      <c r="K2" s="2"/>
      <c r="L2" s="3"/>
      <c r="M2" s="3"/>
      <c r="N2" s="3"/>
      <c r="O2" s="4"/>
      <c r="P2" s="5"/>
      <c r="Q2" s="3"/>
      <c r="R2" s="3"/>
      <c r="S2" s="6"/>
      <c r="T2" s="6"/>
      <c r="U2" s="7"/>
      <c r="V2" s="3"/>
      <c r="W2" s="8"/>
      <c r="X2" s="2"/>
      <c r="Y2" s="2"/>
      <c r="Z2" s="2"/>
    </row>
    <row r="3" spans="1:26" x14ac:dyDescent="0.3">
      <c r="A3" s="9"/>
      <c r="B3" s="9"/>
      <c r="C3" s="9"/>
      <c r="D3" s="10"/>
      <c r="E3" s="10"/>
      <c r="F3" s="9"/>
      <c r="G3" s="10"/>
      <c r="H3" s="10"/>
      <c r="I3" s="10"/>
      <c r="J3" s="10"/>
      <c r="K3" s="9"/>
      <c r="L3" s="10"/>
      <c r="M3" s="10"/>
      <c r="N3" s="10"/>
      <c r="O3" s="11"/>
      <c r="P3" s="12"/>
      <c r="Q3" s="10"/>
      <c r="R3" s="10"/>
      <c r="S3" s="13"/>
      <c r="T3" s="13"/>
      <c r="U3" s="14"/>
      <c r="V3" s="10"/>
      <c r="W3" s="15"/>
      <c r="X3" s="9"/>
      <c r="Y3" s="9"/>
      <c r="Z3" s="9"/>
    </row>
    <row r="4" spans="1:26" x14ac:dyDescent="0.3">
      <c r="A4" s="2"/>
      <c r="B4" s="2"/>
      <c r="C4" s="2"/>
      <c r="D4" s="3"/>
      <c r="E4" s="3"/>
      <c r="F4" s="2"/>
      <c r="G4" s="3"/>
      <c r="H4" s="3"/>
      <c r="I4" s="3"/>
      <c r="J4" s="3"/>
      <c r="K4" s="2"/>
      <c r="L4" s="3"/>
      <c r="M4" s="3"/>
      <c r="N4" s="3"/>
      <c r="O4" s="16"/>
      <c r="P4" s="17"/>
      <c r="Q4" s="3"/>
      <c r="R4" s="3"/>
      <c r="S4" s="6"/>
      <c r="T4" s="6"/>
      <c r="U4" s="7"/>
      <c r="V4" s="3"/>
      <c r="W4" s="8"/>
      <c r="X4" s="2"/>
      <c r="Y4" s="2"/>
      <c r="Z4" s="2"/>
    </row>
    <row r="5" spans="1:26" x14ac:dyDescent="0.3">
      <c r="A5" s="9"/>
      <c r="B5" s="9"/>
      <c r="C5" s="9"/>
      <c r="D5" s="10"/>
      <c r="E5" s="10"/>
      <c r="F5" s="9"/>
      <c r="G5" s="10"/>
      <c r="H5" s="10"/>
      <c r="I5" s="10"/>
      <c r="J5" s="10"/>
      <c r="K5" s="9"/>
      <c r="L5" s="10"/>
      <c r="M5" s="10"/>
      <c r="N5" s="10"/>
      <c r="O5" s="11"/>
      <c r="P5" s="12"/>
      <c r="Q5" s="10"/>
      <c r="R5" s="10"/>
      <c r="S5" s="13"/>
      <c r="T5" s="13"/>
      <c r="U5" s="14"/>
      <c r="V5" s="10"/>
      <c r="W5" s="15"/>
      <c r="X5" s="9"/>
      <c r="Y5" s="9"/>
      <c r="Z5" s="9"/>
    </row>
    <row r="6" spans="1:26" x14ac:dyDescent="0.3">
      <c r="A6" s="2"/>
      <c r="B6" s="2"/>
      <c r="C6" s="2"/>
      <c r="D6" s="3"/>
      <c r="E6" s="3"/>
      <c r="F6" s="2"/>
      <c r="G6" s="3"/>
      <c r="H6" s="3"/>
      <c r="I6" s="3"/>
      <c r="J6" s="3"/>
      <c r="K6" s="2"/>
      <c r="L6" s="3"/>
      <c r="M6" s="3"/>
      <c r="N6" s="3"/>
      <c r="O6" s="4"/>
      <c r="P6" s="5"/>
      <c r="Q6" s="3"/>
      <c r="R6" s="3"/>
      <c r="S6" s="6"/>
      <c r="T6" s="6"/>
      <c r="U6" s="7"/>
      <c r="V6" s="3"/>
      <c r="W6" s="8"/>
      <c r="X6" s="2"/>
      <c r="Y6" s="2"/>
      <c r="Z6" s="2"/>
    </row>
    <row r="7" spans="1:26" x14ac:dyDescent="0.3">
      <c r="A7" s="9"/>
      <c r="B7" s="9"/>
      <c r="C7" s="9"/>
      <c r="D7" s="10"/>
      <c r="E7" s="10"/>
      <c r="F7" s="9"/>
      <c r="G7" s="10"/>
      <c r="H7" s="10"/>
      <c r="I7" s="10"/>
      <c r="J7" s="10"/>
      <c r="K7" s="9"/>
      <c r="L7" s="10"/>
      <c r="M7" s="10"/>
      <c r="N7" s="10"/>
      <c r="O7" s="11"/>
      <c r="P7" s="12"/>
      <c r="Q7" s="10"/>
      <c r="R7" s="10"/>
      <c r="S7" s="13"/>
      <c r="T7" s="13"/>
      <c r="U7" s="14"/>
      <c r="V7" s="10"/>
      <c r="W7" s="18"/>
      <c r="X7" s="9"/>
      <c r="Y7" s="9"/>
      <c r="Z7" s="9"/>
    </row>
    <row r="8" spans="1:26" x14ac:dyDescent="0.3">
      <c r="A8" s="2"/>
      <c r="B8" s="2"/>
      <c r="C8" s="2"/>
      <c r="D8" s="3"/>
      <c r="E8" s="3"/>
      <c r="F8" s="2"/>
      <c r="G8" s="3"/>
      <c r="H8" s="3"/>
      <c r="I8" s="3"/>
      <c r="J8" s="3"/>
      <c r="K8" s="2"/>
      <c r="L8" s="3"/>
      <c r="M8" s="3"/>
      <c r="N8" s="3"/>
      <c r="O8" s="16"/>
      <c r="P8" s="17"/>
      <c r="Q8" s="3"/>
      <c r="R8" s="3"/>
      <c r="S8" s="6"/>
      <c r="T8" s="6"/>
      <c r="U8" s="7"/>
      <c r="V8" s="3"/>
      <c r="W8" s="8"/>
      <c r="X8" s="2"/>
      <c r="Y8" s="2"/>
      <c r="Z8" s="2"/>
    </row>
    <row r="9" spans="1:26" x14ac:dyDescent="0.3">
      <c r="A9" s="9"/>
      <c r="B9" s="9"/>
      <c r="C9" s="9"/>
      <c r="D9" s="10"/>
      <c r="E9" s="10"/>
      <c r="F9" s="9"/>
      <c r="G9" s="10"/>
      <c r="H9" s="10"/>
      <c r="I9" s="10"/>
      <c r="J9" s="10"/>
      <c r="K9" s="9"/>
      <c r="L9" s="10"/>
      <c r="M9" s="10"/>
      <c r="N9" s="10"/>
      <c r="O9" s="19"/>
      <c r="P9" s="20"/>
      <c r="Q9" s="10"/>
      <c r="R9" s="10"/>
      <c r="S9" s="13"/>
      <c r="T9" s="13"/>
      <c r="U9" s="14"/>
      <c r="V9" s="10"/>
      <c r="W9" s="15"/>
      <c r="X9" s="9"/>
      <c r="Y9" s="9"/>
      <c r="Z9" s="9"/>
    </row>
    <row r="10" spans="1:26" x14ac:dyDescent="0.3">
      <c r="A10" s="2"/>
      <c r="B10" s="2"/>
      <c r="C10" s="2"/>
      <c r="D10" s="3"/>
      <c r="E10" s="3"/>
      <c r="F10" s="2"/>
      <c r="G10" s="3"/>
      <c r="H10" s="3"/>
      <c r="I10" s="3"/>
      <c r="J10" s="3"/>
      <c r="K10" s="2"/>
      <c r="L10" s="3"/>
      <c r="M10" s="3"/>
      <c r="N10" s="3"/>
      <c r="O10" s="16"/>
      <c r="P10" s="17"/>
      <c r="Q10" s="3"/>
      <c r="R10" s="3"/>
      <c r="S10" s="6"/>
      <c r="T10" s="6"/>
      <c r="U10" s="7"/>
      <c r="V10" s="3"/>
      <c r="W10" s="21"/>
      <c r="X10" s="2"/>
      <c r="Y10" s="2"/>
      <c r="Z10" s="2"/>
    </row>
  </sheetData>
  <pageMargins left="0.75" right="0.75" top="1" bottom="1" header="0.5" footer="0.5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BC8CFF"/>
  </sheetPr>
  <dimension ref="A1:E10"/>
  <sheetViews>
    <sheetView workbookViewId="0">
      <pane ySplit="1" topLeftCell="A2" activePane="bottomLeft" state="frozen"/>
      <selection pane="bottomLeft"/>
    </sheetView>
  </sheetViews>
  <sheetFormatPr defaultRowHeight="14.4" x14ac:dyDescent="0.3"/>
  <cols>
    <col min="1" max="1" width="28" customWidth="1"/>
    <col min="2" max="2" width="14" customWidth="1"/>
    <col min="3" max="3" width="18" customWidth="1"/>
    <col min="4" max="4" width="14" customWidth="1"/>
    <col min="5" max="5" width="18" customWidth="1"/>
  </cols>
  <sheetData>
    <row r="1" spans="1:5" x14ac:dyDescent="0.3">
      <c r="A1" s="1" t="s">
        <v>55</v>
      </c>
      <c r="B1" s="1" t="s">
        <v>1</v>
      </c>
      <c r="C1" s="1" t="s">
        <v>2</v>
      </c>
      <c r="D1" s="1" t="s">
        <v>24</v>
      </c>
      <c r="E1" s="1" t="s">
        <v>23</v>
      </c>
    </row>
    <row r="2" spans="1:5" x14ac:dyDescent="0.3">
      <c r="A2" s="22" t="s">
        <v>26</v>
      </c>
      <c r="B2" s="2" t="s">
        <v>27</v>
      </c>
      <c r="C2" s="2" t="s">
        <v>28</v>
      </c>
      <c r="D2" s="2" t="s">
        <v>29</v>
      </c>
      <c r="E2" s="2" t="s">
        <v>31</v>
      </c>
    </row>
    <row r="3" spans="1:5" x14ac:dyDescent="0.3">
      <c r="A3" s="23" t="s">
        <v>32</v>
      </c>
      <c r="B3" s="9" t="s">
        <v>33</v>
      </c>
      <c r="C3" s="9" t="s">
        <v>34</v>
      </c>
      <c r="D3" s="9" t="s">
        <v>35</v>
      </c>
      <c r="E3" s="9" t="s">
        <v>36</v>
      </c>
    </row>
    <row r="4" spans="1:5" x14ac:dyDescent="0.3">
      <c r="A4" s="22" t="s">
        <v>37</v>
      </c>
      <c r="B4" s="2" t="s">
        <v>38</v>
      </c>
      <c r="C4" s="2" t="s">
        <v>39</v>
      </c>
      <c r="D4" s="2" t="s">
        <v>40</v>
      </c>
      <c r="E4" s="2" t="s">
        <v>41</v>
      </c>
    </row>
    <row r="5" spans="1:5" x14ac:dyDescent="0.3">
      <c r="A5" s="23" t="s">
        <v>42</v>
      </c>
      <c r="B5" s="9" t="s">
        <v>33</v>
      </c>
      <c r="C5" s="9" t="s">
        <v>43</v>
      </c>
      <c r="D5" s="9" t="s">
        <v>35</v>
      </c>
      <c r="E5" s="9" t="s">
        <v>36</v>
      </c>
    </row>
    <row r="6" spans="1:5" x14ac:dyDescent="0.3">
      <c r="A6" s="22" t="s">
        <v>44</v>
      </c>
      <c r="B6" s="2" t="s">
        <v>45</v>
      </c>
      <c r="C6" s="2" t="s">
        <v>45</v>
      </c>
      <c r="D6" s="2" t="s">
        <v>35</v>
      </c>
      <c r="E6" s="2" t="s">
        <v>36</v>
      </c>
    </row>
    <row r="7" spans="1:5" x14ac:dyDescent="0.3">
      <c r="A7" s="23" t="s">
        <v>46</v>
      </c>
      <c r="B7" s="9" t="s">
        <v>47</v>
      </c>
      <c r="C7" s="9" t="s">
        <v>48</v>
      </c>
      <c r="D7" s="9" t="s">
        <v>29</v>
      </c>
      <c r="E7" s="9" t="s">
        <v>49</v>
      </c>
    </row>
    <row r="8" spans="1:5" x14ac:dyDescent="0.3">
      <c r="A8" s="22" t="s">
        <v>50</v>
      </c>
      <c r="B8" s="2" t="s">
        <v>38</v>
      </c>
      <c r="C8" s="2" t="s">
        <v>39</v>
      </c>
      <c r="D8" s="2" t="s">
        <v>40</v>
      </c>
      <c r="E8" s="2" t="s">
        <v>41</v>
      </c>
    </row>
    <row r="9" spans="1:5" x14ac:dyDescent="0.3">
      <c r="A9" s="23" t="s">
        <v>51</v>
      </c>
      <c r="B9" s="9" t="s">
        <v>38</v>
      </c>
      <c r="C9" s="9" t="s">
        <v>52</v>
      </c>
      <c r="D9" s="9" t="s">
        <v>35</v>
      </c>
      <c r="E9" s="9" t="s">
        <v>30</v>
      </c>
    </row>
    <row r="10" spans="1:5" x14ac:dyDescent="0.3">
      <c r="A10" s="22" t="s">
        <v>53</v>
      </c>
      <c r="B10" s="2" t="s">
        <v>54</v>
      </c>
      <c r="C10" s="2" t="s">
        <v>54</v>
      </c>
      <c r="D10" s="2" t="s">
        <v>35</v>
      </c>
      <c r="E10" s="2" t="s">
        <v>36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E3B341"/>
  </sheetPr>
  <dimension ref="A1:G4"/>
  <sheetViews>
    <sheetView workbookViewId="0"/>
  </sheetViews>
  <sheetFormatPr defaultRowHeight="14.4" x14ac:dyDescent="0.3"/>
  <cols>
    <col min="1" max="2" width="12" customWidth="1"/>
    <col min="3" max="3" width="18" customWidth="1"/>
    <col min="4" max="6" width="10" customWidth="1"/>
    <col min="7" max="7" width="40" customWidth="1"/>
  </cols>
  <sheetData>
    <row r="1" spans="1:7" x14ac:dyDescent="0.3">
      <c r="A1" s="1" t="s">
        <v>56</v>
      </c>
      <c r="B1" s="1" t="s">
        <v>57</v>
      </c>
      <c r="C1" s="1" t="s">
        <v>58</v>
      </c>
      <c r="D1" s="1" t="s">
        <v>59</v>
      </c>
      <c r="E1" s="1" t="s">
        <v>60</v>
      </c>
      <c r="F1" s="1" t="s">
        <v>61</v>
      </c>
      <c r="G1" s="1" t="s">
        <v>62</v>
      </c>
    </row>
    <row r="2" spans="1:7" x14ac:dyDescent="0.3">
      <c r="A2" s="24" t="s">
        <v>63</v>
      </c>
      <c r="B2" s="2">
        <v>0.08</v>
      </c>
      <c r="C2" s="2">
        <v>0.06</v>
      </c>
      <c r="D2" s="2">
        <v>-0.02</v>
      </c>
      <c r="E2" s="2">
        <v>105685.614</v>
      </c>
      <c r="F2" s="2">
        <v>30</v>
      </c>
    </row>
    <row r="3" spans="1:7" x14ac:dyDescent="0.3">
      <c r="A3" s="25" t="s">
        <v>64</v>
      </c>
      <c r="B3" s="9">
        <v>0.02</v>
      </c>
      <c r="C3" s="9">
        <v>0.02</v>
      </c>
      <c r="D3" s="9">
        <v>0</v>
      </c>
      <c r="E3" s="9">
        <v>99814.191000000006</v>
      </c>
      <c r="F3" s="9">
        <v>40</v>
      </c>
    </row>
    <row r="4" spans="1:7" x14ac:dyDescent="0.3">
      <c r="A4" s="21" t="s">
        <v>65</v>
      </c>
      <c r="B4" s="2">
        <v>-0.05</v>
      </c>
      <c r="C4" s="2">
        <v>-0.03</v>
      </c>
      <c r="D4" s="2">
        <v>-0.04</v>
      </c>
      <c r="E4" s="2">
        <v>92964.197499999995</v>
      </c>
      <c r="F4" s="2">
        <v>30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3FB950"/>
  </sheetPr>
  <dimension ref="A1:C1"/>
  <sheetViews>
    <sheetView workbookViewId="0">
      <pane ySplit="1" topLeftCell="A2" activePane="bottomLeft" state="frozen"/>
      <selection pane="bottomLeft"/>
    </sheetView>
  </sheetViews>
  <sheetFormatPr defaultRowHeight="14.4" x14ac:dyDescent="0.3"/>
  <cols>
    <col min="1" max="1" width="14" customWidth="1"/>
    <col min="2" max="2" width="24" customWidth="1"/>
    <col min="3" max="3" width="14" customWidth="1"/>
  </cols>
  <sheetData>
    <row r="1" spans="1:3" x14ac:dyDescent="0.3">
      <c r="A1" s="1" t="s">
        <v>25</v>
      </c>
      <c r="B1" s="1" t="s">
        <v>0</v>
      </c>
      <c r="C1" s="1" t="s">
        <v>66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85149"/>
  </sheetPr>
  <dimension ref="A1:C12"/>
  <sheetViews>
    <sheetView workbookViewId="0"/>
  </sheetViews>
  <sheetFormatPr defaultRowHeight="14.4" x14ac:dyDescent="0.3"/>
  <cols>
    <col min="1" max="1" width="30" customWidth="1"/>
    <col min="2" max="2" width="20" customWidth="1"/>
    <col min="3" max="3" width="12" customWidth="1"/>
  </cols>
  <sheetData>
    <row r="1" spans="1:3" x14ac:dyDescent="0.3">
      <c r="A1" s="1" t="s">
        <v>67</v>
      </c>
      <c r="B1" s="1" t="s">
        <v>68</v>
      </c>
      <c r="C1" s="1" t="s">
        <v>69</v>
      </c>
    </row>
    <row r="2" spans="1:3" x14ac:dyDescent="0.3">
      <c r="A2" s="26" t="s">
        <v>70</v>
      </c>
      <c r="B2" s="2">
        <v>100000</v>
      </c>
      <c r="C2" s="2" t="s">
        <v>71</v>
      </c>
    </row>
    <row r="3" spans="1:3" x14ac:dyDescent="0.3">
      <c r="A3" s="27" t="s">
        <v>72</v>
      </c>
      <c r="B3" s="9">
        <v>70637.59</v>
      </c>
      <c r="C3" s="9" t="s">
        <v>71</v>
      </c>
    </row>
    <row r="4" spans="1:3" x14ac:dyDescent="0.3">
      <c r="A4" s="26" t="s">
        <v>73</v>
      </c>
      <c r="B4" s="2">
        <v>71128.820000000007</v>
      </c>
      <c r="C4" s="2" t="s">
        <v>71</v>
      </c>
    </row>
    <row r="5" spans="1:3" x14ac:dyDescent="0.3">
      <c r="A5" s="27" t="s">
        <v>74</v>
      </c>
      <c r="B5" s="28">
        <v>491.23</v>
      </c>
      <c r="C5" s="9" t="s">
        <v>75</v>
      </c>
    </row>
    <row r="6" spans="1:3" x14ac:dyDescent="0.3">
      <c r="A6" s="26" t="s">
        <v>76</v>
      </c>
      <c r="B6" s="24">
        <v>0.69540000000000002</v>
      </c>
      <c r="C6" s="2" t="s">
        <v>75</v>
      </c>
    </row>
    <row r="7" spans="1:3" x14ac:dyDescent="0.3">
      <c r="A7" s="27" t="s">
        <v>77</v>
      </c>
      <c r="B7" s="9">
        <v>2837.81</v>
      </c>
      <c r="C7" s="9" t="s">
        <v>71</v>
      </c>
    </row>
    <row r="8" spans="1:3" x14ac:dyDescent="0.3">
      <c r="A8" s="26" t="s">
        <v>78</v>
      </c>
      <c r="B8" s="2">
        <v>67799.78</v>
      </c>
      <c r="C8" s="2" t="s">
        <v>71</v>
      </c>
    </row>
    <row r="9" spans="1:3" x14ac:dyDescent="0.3">
      <c r="A9" s="27" t="s">
        <v>79</v>
      </c>
      <c r="B9" s="9">
        <v>4.0174000000000003</v>
      </c>
      <c r="C9" s="9" t="s">
        <v>71</v>
      </c>
    </row>
    <row r="10" spans="1:3" x14ac:dyDescent="0.3">
      <c r="A10" s="26" t="s">
        <v>80</v>
      </c>
      <c r="B10" s="21" t="s">
        <v>81</v>
      </c>
      <c r="C10" s="2" t="s">
        <v>82</v>
      </c>
    </row>
    <row r="11" spans="1:3" x14ac:dyDescent="0.3">
      <c r="A11" s="27" t="s">
        <v>83</v>
      </c>
      <c r="B11" s="9">
        <v>9</v>
      </c>
      <c r="C11" s="9" t="s">
        <v>71</v>
      </c>
    </row>
    <row r="12" spans="1:3" x14ac:dyDescent="0.3">
      <c r="A12" s="26" t="s">
        <v>84</v>
      </c>
      <c r="B12" s="2">
        <v>29362.41</v>
      </c>
      <c r="C12" s="2" t="s">
        <v>71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E3B341"/>
  </sheetPr>
  <dimension ref="A1:G10"/>
  <sheetViews>
    <sheetView workbookViewId="0"/>
  </sheetViews>
  <sheetFormatPr defaultRowHeight="14.4" x14ac:dyDescent="0.3"/>
  <cols>
    <col min="1" max="1" width="26" customWidth="1"/>
    <col min="2" max="7" width="12" customWidth="1"/>
  </cols>
  <sheetData>
    <row r="1" spans="1:7" x14ac:dyDescent="0.3">
      <c r="A1" s="1" t="s">
        <v>0</v>
      </c>
      <c r="B1" s="1" t="s">
        <v>85</v>
      </c>
      <c r="C1" s="1" t="s">
        <v>86</v>
      </c>
      <c r="D1" s="1" t="s">
        <v>9</v>
      </c>
      <c r="E1" s="1" t="s">
        <v>6</v>
      </c>
      <c r="F1" s="1" t="s">
        <v>7</v>
      </c>
      <c r="G1" s="1" t="s">
        <v>8</v>
      </c>
    </row>
    <row r="2" spans="1:7" x14ac:dyDescent="0.3">
      <c r="A2" s="22" t="s">
        <v>26</v>
      </c>
      <c r="B2" s="3">
        <v>449.8</v>
      </c>
      <c r="C2" s="3">
        <v>453.75</v>
      </c>
      <c r="D2" s="3">
        <v>428.26</v>
      </c>
      <c r="E2" s="3">
        <v>477.84800000000001</v>
      </c>
      <c r="F2" s="3">
        <v>495.88000000000011</v>
      </c>
      <c r="G2" s="3" t="e">
        <f ca="1">XLOOKUP(A2, Portfolio_Master!$A:$A, Portfolio_Master!$I:$I)</f>
        <v>#NAME?</v>
      </c>
    </row>
    <row r="3" spans="1:7" x14ac:dyDescent="0.3">
      <c r="A3" s="23" t="s">
        <v>32</v>
      </c>
      <c r="B3" s="10">
        <v>358.6</v>
      </c>
      <c r="C3" s="10">
        <v>359</v>
      </c>
      <c r="D3" s="10">
        <v>353.82749999999999</v>
      </c>
      <c r="E3" s="10">
        <v>394.79700000000003</v>
      </c>
      <c r="F3" s="10">
        <v>409.69499999999999</v>
      </c>
      <c r="G3" s="10" t="e">
        <f ca="1">XLOOKUP(A3, Portfolio_Master!$A:$A, Portfolio_Master!$I:$I)</f>
        <v>#NAME?</v>
      </c>
    </row>
    <row r="4" spans="1:7" x14ac:dyDescent="0.3">
      <c r="A4" s="22" t="s">
        <v>37</v>
      </c>
      <c r="B4" s="3">
        <v>135.46</v>
      </c>
      <c r="C4" s="3">
        <v>133.57</v>
      </c>
      <c r="D4" s="3">
        <v>125.4</v>
      </c>
      <c r="E4" s="3">
        <v>139.91999999999999</v>
      </c>
      <c r="F4" s="3">
        <v>145.19999999999999</v>
      </c>
      <c r="G4" s="3" t="e">
        <f ca="1">XLOOKUP(A4, Portfolio_Master!$A:$A, Portfolio_Master!$I:$I)</f>
        <v>#NAME?</v>
      </c>
    </row>
    <row r="5" spans="1:7" x14ac:dyDescent="0.3">
      <c r="A5" s="23" t="s">
        <v>42</v>
      </c>
      <c r="B5" s="10">
        <v>279.26</v>
      </c>
      <c r="C5" s="10">
        <v>282.5</v>
      </c>
      <c r="D5" s="10">
        <v>265.38249999999999</v>
      </c>
      <c r="E5" s="10">
        <v>296.11099999999999</v>
      </c>
      <c r="F5" s="10">
        <v>307.28500000000003</v>
      </c>
      <c r="G5" s="10" t="e">
        <f ca="1">XLOOKUP(A5, Portfolio_Master!$A:$A, Portfolio_Master!$I:$I)</f>
        <v>#NAME?</v>
      </c>
    </row>
    <row r="6" spans="1:7" x14ac:dyDescent="0.3">
      <c r="A6" s="22" t="s">
        <v>44</v>
      </c>
      <c r="B6" s="3">
        <v>1.72</v>
      </c>
      <c r="C6" s="3">
        <v>1.82</v>
      </c>
      <c r="D6" s="3">
        <v>1.63</v>
      </c>
      <c r="E6" s="3">
        <v>1.82</v>
      </c>
      <c r="F6" s="3">
        <v>1.89</v>
      </c>
      <c r="G6" s="3" t="e">
        <f ca="1">XLOOKUP(A6, Portfolio_Master!$A:$A, Portfolio_Master!$I:$I)</f>
        <v>#NAME?</v>
      </c>
    </row>
    <row r="7" spans="1:7" x14ac:dyDescent="0.3">
      <c r="A7" s="23" t="s">
        <v>46</v>
      </c>
      <c r="B7" s="10">
        <v>11.97</v>
      </c>
      <c r="C7" s="10">
        <v>40.28</v>
      </c>
      <c r="D7" s="10">
        <v>38.051299999999998</v>
      </c>
      <c r="E7" s="10">
        <v>42.457240000000013</v>
      </c>
      <c r="F7" s="10">
        <v>44.059399999999997</v>
      </c>
      <c r="G7" s="10" t="e">
        <f ca="1">XLOOKUP(A7, Portfolio_Master!$A:$A, Portfolio_Master!$I:$I)</f>
        <v>#NAME?</v>
      </c>
    </row>
    <row r="8" spans="1:7" x14ac:dyDescent="0.3">
      <c r="A8" s="22" t="s">
        <v>50</v>
      </c>
      <c r="B8" s="3">
        <v>16.03</v>
      </c>
      <c r="C8" s="3">
        <v>15.65</v>
      </c>
      <c r="D8" s="3">
        <v>15.2285</v>
      </c>
      <c r="E8" s="3">
        <v>16.991800000000001</v>
      </c>
      <c r="F8" s="3">
        <v>17.632999999999999</v>
      </c>
      <c r="G8" s="3" t="e">
        <f ca="1">XLOOKUP(A8, Portfolio_Master!$A:$A, Portfolio_Master!$I:$I)</f>
        <v>#NAME?</v>
      </c>
    </row>
    <row r="9" spans="1:7" x14ac:dyDescent="0.3">
      <c r="A9" s="23" t="s">
        <v>51</v>
      </c>
      <c r="B9" s="10">
        <v>25.77</v>
      </c>
      <c r="C9" s="10">
        <v>25.67</v>
      </c>
      <c r="D9" s="10">
        <v>25.982500000000002</v>
      </c>
      <c r="E9" s="10">
        <v>28.991</v>
      </c>
      <c r="F9" s="10">
        <v>30.085000000000001</v>
      </c>
      <c r="G9" s="10" t="e">
        <f ca="1">XLOOKUP(A9, Portfolio_Master!$A:$A, Portfolio_Master!$I:$I)</f>
        <v>#NAME?</v>
      </c>
    </row>
    <row r="10" spans="1:7" x14ac:dyDescent="0.3">
      <c r="A10" s="22" t="s">
        <v>53</v>
      </c>
      <c r="B10" s="3">
        <v>26.57</v>
      </c>
      <c r="C10" s="3">
        <v>23.71</v>
      </c>
      <c r="D10" s="3">
        <v>25.24</v>
      </c>
      <c r="E10" s="3">
        <v>28.16</v>
      </c>
      <c r="F10" s="3">
        <v>29.23</v>
      </c>
      <c r="G10" s="3" t="e">
        <f ca="1">XLOOKUP(A10, Portfolio_Master!$A:$A, Portfolio_Master!$I:$I)</f>
        <v>#NAME?</v>
      </c>
    </row>
  </sheetData>
  <pageMargins left="0.75" right="0.75" top="1" bottom="1" header="0.5" footer="0.5"/>
  <drawing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Portfolio_Master</vt:lpstr>
      <vt:lpstr>Dim_Stock</vt:lpstr>
      <vt:lpstr>Dim_Scenario</vt:lpstr>
      <vt:lpstr>Fact_Prices</vt:lpstr>
      <vt:lpstr>Portfolio_Summary</vt:lpstr>
      <vt:lpstr>Stock_Visualization_Data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HP</cp:lastModifiedBy>
  <dcterms:created xsi:type="dcterms:W3CDTF">2026-03-04T11:54:35Z</dcterms:created>
  <dcterms:modified xsi:type="dcterms:W3CDTF">2026-03-04T11:59:58Z</dcterms:modified>
</cp:coreProperties>
</file>